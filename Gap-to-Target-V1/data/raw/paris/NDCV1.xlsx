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ichm\Desktop\Submissions\ESI\Revision\Paris\Row Data\"/>
    </mc:Choice>
  </mc:AlternateContent>
  <xr:revisionPtr revIDLastSave="0" documentId="13_ncr:1_{4523FADB-5214-4430-946F-C4CD87B13730}" xr6:coauthVersionLast="47" xr6:coauthVersionMax="47" xr10:uidLastSave="{00000000-0000-0000-0000-000000000000}"/>
  <bookViews>
    <workbookView xWindow="-110" yWindow="-110" windowWidth="19420" windowHeight="11500" xr2:uid="{3F17F9C8-6C6D-48EB-AD1F-3B5D0D887AFC}"/>
  </bookViews>
  <sheets>
    <sheet name="Feuil1" sheetId="1" r:id="rId1"/>
  </sheets>
  <definedNames>
    <definedName name="_xlnm._FilterDatabase" localSheetId="0" hidden="1">Feuil1!$B$1:$B$793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8" i="1" l="1"/>
  <c r="AG27" i="1"/>
  <c r="AG26" i="1"/>
  <c r="AG24" i="1"/>
  <c r="AG23" i="1"/>
  <c r="AG22" i="1"/>
  <c r="AG20" i="1"/>
  <c r="AG19" i="1"/>
  <c r="AG18" i="1"/>
</calcChain>
</file>

<file path=xl/sharedStrings.xml><?xml version="1.0" encoding="utf-8"?>
<sst xmlns="http://schemas.openxmlformats.org/spreadsheetml/2006/main" count="6221" uniqueCount="1194">
  <si>
    <t xml:space="preserve">Country </t>
  </si>
  <si>
    <t>NDCs_number</t>
  </si>
  <si>
    <t>Submission-date</t>
  </si>
  <si>
    <t>Target in percent</t>
  </si>
  <si>
    <t>Target_in_value_GgCO₂eq</t>
  </si>
  <si>
    <t>Unconditional_target in percent</t>
  </si>
  <si>
    <t>Unconditional_target in value_GgCO₂eq</t>
  </si>
  <si>
    <t>Conditional_target in percent</t>
  </si>
  <si>
    <t>Conditional_target in value_GgCO₂eq</t>
  </si>
  <si>
    <t> interim_target in percent</t>
  </si>
  <si>
    <t>Reference</t>
  </si>
  <si>
    <t>Base_year</t>
  </si>
  <si>
    <t>Target_year</t>
  </si>
  <si>
    <t> interim_target_year</t>
  </si>
  <si>
    <t>Timeframe for implementation</t>
  </si>
  <si>
    <t>Neutrality</t>
  </si>
  <si>
    <t>Neutrality_year</t>
  </si>
  <si>
    <t>Neutrality-target in percent</t>
  </si>
  <si>
    <t>Neutrality target in value</t>
  </si>
  <si>
    <t>Sectors</t>
  </si>
  <si>
    <t>Sectoral Policies</t>
  </si>
  <si>
    <t>Mitigation_policies</t>
  </si>
  <si>
    <t>Conditional to external support</t>
  </si>
  <si>
    <t>Adaptation included</t>
  </si>
  <si>
    <t>Financial_Mitigation</t>
  </si>
  <si>
    <t>Financial_adaptation</t>
  </si>
  <si>
    <t>Non financial support needs</t>
  </si>
  <si>
    <t>Additional infomation</t>
  </si>
  <si>
    <t>Afghanistan</t>
  </si>
  <si>
    <t>10/13/2015</t>
  </si>
  <si>
    <t>BAU</t>
  </si>
  <si>
    <t xml:space="preserve">Energy, natural resource management, agriculture, waste management and mining; Energy Production (hydropower, solar systems, wind and biomass, commercial, domestic: clean cook stoves and fuels, and solar energy
Energy Efficiency (households, transport, industry, services, mining, agriculture). Land Use, Forests and Rangelands (Afforestation and reforestation, natural forests, fuelwood from forest and orchards, rangelands rehabilitation)
Agriculture and Livestock (manure management, land use/change for agriculture)
Irrigation Infrastructure
Improved Cropping Systems. 
Industrial Processes and Extractive Industries (mining and extractives, gas and hydrocarbons, coal and minerals) end-use saving, and fuel shifts. Power plants: fuel shift to natural gas and renewables Transport: more efficient vehicles, clean fuels, and alternative fuels. Waste Management (solid waste management and wastewater recycling/composing of biodegradable waste instead of landfill, and methane recovery from landfill); Coal mines: gas recovery in coal mines Rice paddies: modified rice strains
</t>
  </si>
  <si>
    <t>Baseline scenario target</t>
  </si>
  <si>
    <t>USD 1.785 billion</t>
  </si>
  <si>
    <t>11/23/2016</t>
  </si>
  <si>
    <t>Albania</t>
  </si>
  <si>
    <t>09/24/2015</t>
  </si>
  <si>
    <t xml:space="preserve"> 708 </t>
  </si>
  <si>
    <t>2016-2030</t>
  </si>
  <si>
    <t>Energy; Industrial processes"Having relatively high uncertainty regarding emission data in the LULUCF sector and non-CO2 greenhouses gas emissions and removals Albania reserves its right to review its INDC until 2020 upon the availably of more accurate data and improved technical conditions regarding land use, land use change and forestry as well as non-CO2 greenhouse gases and include it in its nationally determined contribution."</t>
  </si>
  <si>
    <t>09/21/2016</t>
  </si>
  <si>
    <t>2016-2031</t>
  </si>
  <si>
    <t>16,828,000</t>
  </si>
  <si>
    <t>Andorra</t>
  </si>
  <si>
    <t>04/30/2015</t>
  </si>
  <si>
    <t> BAU </t>
  </si>
  <si>
    <t>Secteurs de l’énergie et des déchets, selon les catégories d’inventaire du GIEC 2006. Energy and waste sectors, according to the 2006 IPCC inventory categories.</t>
  </si>
  <si>
    <t>03/24/2017</t>
  </si>
  <si>
    <t>2022-2030</t>
  </si>
  <si>
    <t>2031-2035</t>
  </si>
  <si>
    <t>Energy (including Electricity, Transport, and Buildings), AFOLU, Waste</t>
  </si>
  <si>
    <t>Base year target</t>
  </si>
  <si>
    <t>Algeria</t>
  </si>
  <si>
    <t>2021-2030</t>
  </si>
  <si>
    <t>Energie (Production, Transports, Bâtiment, Industrie); Procédés industriels; Agriculture, Forêts et Utilisation des Terres; Déchets. | Energy (Production, Transport, Buildings, Industry); Industrial processes; Agriculture, Forests and Land Use; Waste. To integrate the impacts of climate change into sectoral strategies, in particular for agriculture. "Adapting the institutional and regulatory framework to climate change | Reinforcing institutional and human capacities in combating climate change | Establishing a monitoring and early warning system and capacity building with regard to extreme climate events management | Elaborating regional and local plans for adaptation to climate change". "To reinforce the ecosystems resilience (flooding and drought) in order to curtail the risks of natural disasters related to climate change". To fight against erosion and rehabilitate its degraded lands as part of the efforts to combat desertification. To integrate the impacts of climate change into sectoral strategies, in particular for transport. To integrate the impacts of climate change into sectoral strategies, in particular for water management</t>
  </si>
  <si>
    <t>10/20/2016</t>
  </si>
  <si>
    <t>2021-2031</t>
  </si>
  <si>
    <t>Angola</t>
  </si>
  <si>
    <t> 11/29/2015</t>
  </si>
  <si>
    <t>Based on the last GHG inventory, the selected sectors are defined according to the revised IPCC Guidelines 1996 and cover the entire territory. | Focused sectors: Power generation from renewable sources; and Reforestation."Sectoral Conditional Actions: Diversify crops to less climate sensitive cultures; Locally available adapted seed varieties | Estimated Cost for Sectoral Conditional Actions: USD 3 Million; USD 5 Million". "Enhancing climate change resilience in the Benguela current fisheries system (regional project: Angola, Namibia and South Africa) | Implementing Agency for Sectoral Unconditional Actions: FAO | Estimated Cost for Sectoral Unconditional Actions: USD 16.520 Million"."Sectoral Unconditional Actions: Integrating climate change into environment and sustainable land management practices; Integrating Climate Resilience into Agricultural and Agropastoral Production Systems through Soil Fertility Management in Key Productive and Vulnerable Areas Using the Farmers Field School Approach. | Implementing Agency for Sectoral Unconditional Actions: AfDB; FAO | Estimated Cost for Sectoral Unconditional Actions: USD 24.831 Million; USD 32.143 Million | Sectoral Conditional Actions: Implement water-harvesting system in drought-prone areas; Promote SLM for increased agricultural yields. | Estimated Cost for Sectoral Conditional Actions: USD 3 Million; USD 5 Million". "Sectoral Target: Disseminate sustainable land management and adaptation practices in agro-forestry and land ecology in 350 communities. | Sectoral Unconditional Actions: Land Rehabilitation and Rangelands Management in Small Holders Agropastoral Production Systems in Southwestern Angola (Project RETESA). | Implementing Agency for Sectoral Unconditional Actions: FAO | Estimated Cost for Sectoral Unconditional Actions: USD 15.397 Million". "Sectoral Conditional Actions: Study the vulnerability of the fisheries sector to climate change and current modifications. | Estimated Cost for Sectoral Conditional Actions: USD 2 Million"."Sectoral Unconditional Actions: Addressing urgent coastal adaptation needs and capacity gaps in Angola. | Implementing Agency for Sectoral Unconditional Actions: UNDP | Estimated Cost for Sectoral Unconditional Actions: USD 17.850 Million | Sectoral Conditional Actions: Study impacts of sedimentation and siltation rates on coastal process."Sectoral Conditional Actions: Construct sea level protection structure; Revise building codes to promote retreat from flood plains and coastal zones. | Estimated Cost for Sectoral Conditional Actions: USD 10 Million; USD 1 Million"."Sectoral Conditional Actions: Construct flood protection barriers along major rivers. | Estimated Cost for Sectoral Conditional Actions: [Missing Cost]"."Sectoral Unconditional Actions: Disaster risk reduction/management to support agropastoral communities affected by recurrent droughts and other natural disasters in southern Angola and northern Namibia (Project PIRAN). | Implementing Agency for Sectoral Unconditional Actions: FAO | Funders for Sectoral Unconditional Actions: USAID/OFDA | Estimated Cost for Sectoral Unconditional Actions: USD 1.18 Million (First Year)". "Sectoral Unconditional Actions: Promoting climate-resilient development and enhanced adaptive capacity to withstand disaster risks in Angola's Cuvelai River Basin. | Implementing Agency for Sectoral Unconditional Actions: UNDP | Estimated Cost for Sectoral Unconditional Actions: USD 37.179 Million | Sectoral Conditional Actions: Create an Early warning system for flooding and storms; Climate monitoring and data management system."."Sectoral Conditional Actions: Study impact of climate change on mining | Estimated Cost for Sectoral Conditional Actions: USD 0.5 Million". "Sectoral Unconditional Actions: Promotion of Sustainable Charcoal in Angola through a Value Chain Approach. | Implementing Agency for Sectoral Unconditional Actions: UNDP | Estimated Cost for Sectoral Unconditional Actions: USD 17.884 Million"."Sectoral Target: Generate 5000 megawatts power from 2013 to 2017 | Sectoral Unconditional Actions: Construction of hydroelectric and thermal power plants (2013 - 2017); Extend electricity grid to rural areas. | Implementing Agency for Sectoral Unconditional Actions: Ministry of Energy and Water &amp; National Directorate of Renewable Energy | Estimated Cost for Sectoral Unconditional Actions: USD 5 Million". "Sectoral Conditional Actions: Study impact of climate change on hydroelectricity | Estimated Cost for Sectoral Conditional Actions: USD 1 Million"."Sectoral Target: Produce 100 megawatts of solar power to all rural areas by 2025 | Sectoral Unconditional Actions: The 'Solar Village' Programme. | Implementing Agency for Sectoral Unconditional Actions: Ministry of Energy and Water &amp; National Directorate of Renewable Energy | Estimated Cost for Sectoral Unconditional Actions: USD 150 Million (to 2025)"."Sectoral Conditional Actions: Study the implication of climate change on disease patterns for humans and livestock | Estimated Cost for Sectoral Conditional Actions: USD 1.5 Million"."Sectoral Conditional Actions: Ensure basic access to health services and health monitoring | Estimated Cost for Sectoral Conditional Actions: USD 3 Million"."Sectoral Conditional Actions: Soil erosion control through organic methods; Map areas of erosion risk; Promote alternative renewable energies to avoid deforestation. | Estimated Cost for Sectoral Conditional Actions: USD 4 Million; USD 1 Million; USD 3.5 Million"."Sectoral Conditional Actions: Improve design and construction of buildings | Estimated Cost for Sectoral Conditional Actions: USD 1 Million"."Sectoral Conditional Actions: Increase water availability through village-level wells and boreholes; Implement water resources integrated management; Improve knowledge of hydrology; Monitor groundwater. | Estimated Cost for Sectoral Conditional Actions: USD 5 Million; USD 3 Million; USD 2 Million; USD 3 Million"."Sectoral Conditional Actions: Extend water and sanitation network to rural areas | Estimated Cost for Sectoral Conditional Actions: USD 10 Million";.</t>
  </si>
  <si>
    <t>14.7billion USD</t>
  </si>
  <si>
    <t>In addition, it is expected that through a conditional mitigation scenariothe country could reduce an additional 15% below BAU emission levels by 2030.</t>
  </si>
  <si>
    <t>11/15/2020</t>
  </si>
  <si>
    <t>05/30/2021</t>
  </si>
  <si>
    <t>2020 - 2025</t>
  </si>
  <si>
    <t>143,99 million</t>
  </si>
  <si>
    <t>Unconditional financial needs: Adaptation 22-225, Unconditional: $76,16 million (p. 68) | Conditional financial needs: Adaptation 22-225, Conditional: $67,83 million (p. 68)</t>
  </si>
  <si>
    <t>Antigua and Barbuda</t>
  </si>
  <si>
    <t>10/19/2015</t>
  </si>
  <si>
    <t>Pre 2020 and 2020-2030</t>
  </si>
  <si>
    <t>Sectors addressed in the adaptation and mitigation targets include: Energy, Health, Tourism, Agriculture, Waste, Water, Transportation, Forestry and Land Use Change.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Mitigation contribution type - No GHG target - Non-GHG target: By 2030, achieve an energy matrix with 50 MW of electricity from renewable sources both on and off-grid in the public and private sectors. This target includes distributive renewable energy capacity to be used as backup energy by the commercial sector and some residences. The assumption is that the commercial sector has full backup capacity of approx. 20 MW to continue business when electricity via the grid may be interrupted. Backup electricity generation is currently fossil fuel-based."</t>
  </si>
  <si>
    <t>Pre 2020 and 2020-2031</t>
  </si>
  <si>
    <t>Pre 2020 and 2020-2032</t>
  </si>
  <si>
    <t>Energy, Waste, AFOLU. For the energy sector, the two main targets are - 86% renewable energy generation from local resources in the electricity sector by 2030 and 100% of new vehicle sales to be electric vehicles by 2030. Mitigation contribution type No GHG target GHG target Not Applicable GHG target type Not Applicable Non-GHG target For the energy sector, the two main targets are - 86% renewable energy generation from local resources in the electricity sector by 2030 and 100% of new vehicle sales to be electric vehicles by 2030. 2030 target: 100 MW of renewable energy generation capacity available to the grid 2030 target: 50 MW of renewable energy generation capacity owned by farmers who can sell electricity to off-takers 2030 target: 100 MW of renewable energy generation capacity owned by social investment entities 2030 target: 20 MW of wind-powered energy generation 2030 target: 100% renewable energy generation for all government operations 2030 target: 100% of fixtures and appliances in government buildings will be energy efficient 2035 target: 100% of government vehicles will be electric vehicles 2030 target: 100% of the water supply infrastructure powered by their own grid-interactive renewable energy sources 2030 target: 100% education, health, food security, and emergency shelter facilities powered by their own grid-interactive renewable energy sources 2030 target: 100% of community and sports infrastructure and assets are climate resilient (to withstand at a minimum Category 4 tropical cyclones) and have adequate water harvesting and storage system 2030 target: 30,000 homes or 50% of pre-2020 homes to have back-up renewable energy systems for at least 4–6 hours of energy 2030 target: 100% of the affected parts of the national workforce are trained to use new mitigation technologies for a low greenhouse gas emissions transition 2030 target: 50% increase in the number of micro, small and medium enterprises (MSMEs) that provide energy services aligned with the objectives of the Paris Agreement (through the Sustainable Island Resources Framework Fund [SIRF Fund] and using the Entrepreneurial Development Programme [EDP] Fund) 2030 target: 50% reduction in the average annual preparation costs for hurricanes on single-parent households (Baseline average preparation costs hurricane: USD 2,000 per year or 20% of annual median income) 2030 target: 100% of community businesses and organizations that support women in their post-extreme weather event recovery are identified and provided with support for their efforts to facilitate women’s ability to resume work/livelihoods (and potentially return to their homes/communities) within seven (7) days after such an event 2030 target: 100% of female-headed households have all barriers removed to access back-up renewable energy generation and storage systems (i.e., 20,000 homes) 2030 target: 20% increase in the number of women-led businesses implementing renewable energy and adaptation interventions 2030 target: 25% increase in access to financing for businesses related to the transition to a low carbon, high resilient economy 2030 target: Provide apprenticeship programme for 100% of all students at secondary and tertiary institutions Target year (mitigation) 2030 Timeframe for implementation 2021-2030, with an indicative transport sector target for 2040 Adaptation included Yes Conditionality Conditional NDC and unconditional NDC Child Sensitivity Category of NDC Antigua and Barbuda's updated NDC child sensitivity is Category A.</t>
  </si>
  <si>
    <t>For the energy sector, the two main targets are - 86% renewable energy generation from local resources in the electricity sector by 2030 and 100% of new vehicle sales to be electric vehicles by 2030.</t>
  </si>
  <si>
    <t>Argentina</t>
  </si>
  <si>
    <t>Energy; Agriculture; Waste; Industrial Processes; Land use change and forestry. The improvement in decision making on crop management.The increase in irrigated crop area and improvement in water resource management;The implementation of structural and non structural measures to face extreme events;The intensification and increase in Early warning systems for intense rains, floods, heat waves, and systems for response o and recovery from climate disasters;The promotion of biodiversity conservation and Adaptation based on Ecosystems.The enrichment, conservation, restoration, improvement, and sustainable management of native forests;The reduction in vulnerability and strengthening of processes in health management related to the direct and indirect impact of climate change</t>
  </si>
  <si>
    <t>11/17/2016</t>
  </si>
  <si>
    <t>Fixed level target</t>
  </si>
  <si>
    <t>Not exceed a net emission of 483 (unconditional) million tCO2eq by the year 2030; conditional measures, if jointly implemented could bring emissions to 369 million tCO2eq for 2030.</t>
  </si>
  <si>
    <t>15 billion USD</t>
  </si>
  <si>
    <t>15 billion USD in international financing has been spent on mitigation and adaptation actions in Argentina so far, and more is needed (4). "Financing in the form of donations is identified as very high priority for adaptation measures that strategically attend to particularly vulnerable areas and sectors of Argentina" (75). Financial need for all cross-cutting adaptation measures and all sectoral adaptation measures (79-81).</t>
  </si>
  <si>
    <t>Armenia</t>
  </si>
  <si>
    <t>09/29/2015</t>
  </si>
  <si>
    <t>2015-2050</t>
  </si>
  <si>
    <t> 2.07 tons/per capita </t>
  </si>
  <si>
    <t>Energy (including renewable energy and energy efficiency); Transport (including development of electrical transport); Urban development (including buildings and construction); Industrial processes (construction materials and chemical production); Waste management (solid waste, waste water, agricultural waste); and Land use and Forestry (afforestation, forest protection, carbon storage in soil)."</t>
  </si>
  <si>
    <t>Armenia has stated that its total aggregate emissions between 2015 and 2050 will be "equal to 633 million tons carbon dioxide equivalent", and that the country will strive to "achieve ecosystem neutral GHG emissions in 2050 (equivalent to 2.07 tons/per capita per annum) with the support of adequate (necessary and sufficient) international financial, technological and capacity building assistance."</t>
  </si>
  <si>
    <t> 03/23/2017</t>
  </si>
  <si>
    <t>2021– 2030</t>
  </si>
  <si>
    <t>"Armenia is developing solar energy capacity from current 59.57 MW to 1000 MW before 2030, to increase both, green energy share and energy security (at least 15 per cent in 2030 in power generation mix)"
Impacts of target 59.57 MW to 1000 MW before 2030; increase green energy share and energy security to at least 15% in 2030."Increase of forest cover to 12.9 per cent of the territory of Armenia by 2030"; increase of forest cover to 12.9% of the territory by 2030</t>
  </si>
  <si>
    <t>Australia</t>
  </si>
  <si>
    <t>Energy; Industrial processes and product use; Agriculture; Land-use, land-use change and forestry; Waste</t>
  </si>
  <si>
    <t>Non-GHG target: “Australia has additional policy measures in place to promote the deployment of renewable energy and improve energy efficiency. Under Australia’s Renewable Energy Target scheme, over 23% of Australia’s electricity will come from renewable sources by 2020.”</t>
  </si>
  <si>
    <t>06/16/2022</t>
  </si>
  <si>
    <t>"All sectors, categories and carbon pools, as defined by the IPCC 2006 guidelines, and additional sources reported in the annual National Inventory Report."</t>
  </si>
  <si>
    <t xml:space="preserve">Soil carbon measurement to be under $3/ha/year."Goal: Carbon capture and storage--CO2 compression, hub transport and storage under $20/t of CO2. Pathway: Expected deployment timeframe, Timeframe: 2025-2030".Low emissions steel production to be under $700/t (based on the long run marginal cost). Clean hydrogen production under $2/kg.Ultra low-cost solar--solar electricity generation to be at $15/MWh.Low emissions steel production to be under $700/t (based on the long run marginal cost). </t>
  </si>
  <si>
    <t>"Carbon Credits (Carbon Farming Initiative) Act 2011". "Australia’s first National Electric Vehicle Strategy, to reduce emissions and accelerate the uptake of electric vehicles, including by establishing a new Driving the Nation Fund and doubling the Commonwealth’s investment in charging and refuelling infrastructure to $500 million". "Australia’s first National Electric Vehicle Strategy, to reduce emissions and accelerate the uptake of electric vehicles, including by establishing a new Driving the Nation Fund and doubling the Commonwealth’s investment in charging and refuelling infrastructure to $500 million"</t>
  </si>
  <si>
    <t>Austria</t>
  </si>
  <si>
    <t> 10/05/2016</t>
  </si>
  <si>
    <t>Energy, Industrial processes and product use, Agriculture, Waste, Land Use, Land-Use Change and Forestry (set out in Decision 529/2013/EU)</t>
  </si>
  <si>
    <t>The European Union and its 28 Member States submitted a joint NDC: at least 40% domestic reduction in GHG emissions by 2030 compared to 1990</t>
  </si>
  <si>
    <t>10/19/2023</t>
  </si>
  <si>
    <t>Energy, Industrial processes and product use, Agriculture, Waste, Land Use, Land Use Change and Forestry (LULUCF)</t>
  </si>
  <si>
    <t>In line with the European Commission’s plan to make Europe independent from Russian fossil fuels well before 2030, (RePowerEU), the EU has agreed to increase ambition on energy savings through an enhanced target to reduce final energy consumption at EU level by 11.7% in 2030 and a new target for increasing renewable energy in final energy consumption of at least 42.5% by 2030, with an additional 2.5% indicative top up that would allow to reach 45%."</t>
  </si>
  <si>
    <t>Azerbaijan</t>
  </si>
  <si>
    <t>"Energy, agriculture, waste, LULUCF"</t>
  </si>
  <si>
    <t xml:space="preserve">Improve the management of pastures and agricultural lands; Plant new forest areas, water and land protecting forest strips (windbreaks), urban and roadside greenery; Develop modern solid waste management system at big cities of the country; </t>
  </si>
  <si>
    <t>2023-2050</t>
  </si>
  <si>
    <t>"Energy, industrial processes and product use, agriculture, land use, land use change and forestry, waste sector"</t>
  </si>
  <si>
    <t xml:space="preserve">The import duty rate is 0% only for electric passenger cars with a factory production period of up to 3 years, as well as the import duty rate (tariff) for second and third level electric chargers for electric cars is set at 0%". In 2020, based on the stra30% (1,500 megawatts) of the total energy provided by renewable energy by 2030.In 2020, based on the stra30% (1,500 megawatts) of the total energy provided by renewable energy by 2030. 24% increase of renewable energy in electricity generation by 2026. mplementation of renewable energy projects for the production of renewable energy and “green hydrogen”, “green ammonia” in Azerbaijan with a total capacity of up to 12 GW"? 12 GW renewable energy projects. "230 MW solar power plant with “Masdar” company of the United Arab Emirates". "240 MW wind farm with “ACWA Power” Company of the Kingdom of Saudi Arabia". "Import and sale of hybrid cars with a production period of no more than 3 years and engine volume not exceeding 2,500 cubic centimetres – are exempted from VAT for 3 years from 1 January 2022". </t>
  </si>
  <si>
    <t>Bahamas</t>
  </si>
  <si>
    <t>11/18/2015</t>
  </si>
  <si>
    <t>2010-2030</t>
  </si>
  <si>
    <t>Energy and Forestry</t>
  </si>
  <si>
    <t>"The Government has defined the policy framework for a low carbon development plan through the National Energy Policy, that sets a target to achieve a minimum of 30% renewables in the energy mix by 2030 and will allow for a 10% Residential Energy Self Generation Programme within the year."
"In addition to The Bahamas National Energy Policy, the Forestry Act was amended to allow for the establishment of a permanent forest estate. Under the amended Act, 20% of the land cover is designated into one of three categories (forest reserves, protected forests and conservation forests) and will be subject to a management plan for suitable management and environmental conservation."</t>
  </si>
  <si>
    <t>10/31/2016</t>
  </si>
  <si>
    <t>All indications are the use of reverse osmosis facilities and increased use of waste water treatment facilities will increase dramatically due to the combined effects of climate change. The Bahamas would require support and access to the appropriate technologies to transition its water and sewerage infrastructure over time.” (p. 8). Increase solar water use by 40% for The Bahamas".</t>
  </si>
  <si>
    <t>Energy, Transport, IPPU, LULUCF, Waste</t>
  </si>
  <si>
    <t>At least 30% of renewables in the country’s energy mix. Electric and hybrid vehicles represent 35% and 15% of total vehicle sales, respectively." "Installation of 20MW of wind power Installed."- 20% Phase Out of HFC"."Conservation and Sustainable management practices and the establishment of a forest estate with 20% land cover". Conservation and Sustainable management practices and the establishment of a forest estate with 20% land cover". establishment of a forest estate with 20% land cover</t>
  </si>
  <si>
    <t xml:space="preserve">"2015 - The Water and Sewerage Corporation Act (Amended)".
"2016 - National Development Plan: Vision 2040"."2003 - The Bahamas Building Code". "2003 - The Bahamas Building Code". 2003 - The Bahamas Building Code". "2003 - The Bahamas Building Code". "2003 - The Bahamas Building Code". 
"2002 - Bahamas National Investment Policy". "2022 - Carbon Credit Trading Act". "2019 - The Environmental Planning and Protection Act:". 2013 - The Montreal Protocol Act and Customs Management Act: restrictions on the use, manufacture and sale of controlled substances (Hydrochlorofluorocarbons (HCFCs)) for purposes of giving effect in The Bahamas to the Montreal Protocol on Substances that deplete the Ozone Layer". "2021 - The Civil Aviation Authority Bahamas (CAAB) Environmental Regulation". 
"2005 - National Environmental Management and Action Plan". 30% of renewables in the energy mix. 30% of renewables in the energy mix. "2009 - The Utilities Regulation and Competition Authority (URCA) Act". "2009 - The Utilities Regulation and Competition Authority (URCA) Act". "2022 - Grand Bahama Power Company (GBPC) rules and regulations for Renewable Generation Systems(RGS)". </t>
  </si>
  <si>
    <t>The Kingdom of Bahrain communicated in its INDC actions with mitigation co-benefits "which may contribute to low greenhouse gas emission development" as well as adaptation actions.</t>
  </si>
  <si>
    <t>Bahrain</t>
  </si>
  <si>
    <t>11/24/2015</t>
  </si>
  <si>
    <t>12/30/2016</t>
  </si>
  <si>
    <t>As a developing country, the Kingdom of Bahrain is actively pursuing economic diversification considering sustainability as the pillar of its growth. Despite its low annual GHG footprint, estimated approximately below 0.1% of the global GHG footprint, the Kingdom of Bahrain strives to avoid and reduce emissions in its economic development. As per Article 4.7 of the Paris Agreement, at the core of this NDC is mitigation co-benefits resulting from adaptation actions and economic diversification plans."</t>
  </si>
  <si>
    <t>10/18/2021</t>
  </si>
  <si>
    <t>Bangladesh</t>
  </si>
  <si>
    <t>09/25/2015</t>
  </si>
  <si>
    <t>2020-2030</t>
  </si>
  <si>
    <t>power, transport and industry sectors, based on existing resources.</t>
  </si>
  <si>
    <t>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Minister)River flood and erosion protection (Priority action: River training and dredging including excavation of water bodies, canals and drains; Inland monsoon flood-proofing and protection) 
Implementing Agency for Sectoral Conditional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6000 Million; Comprehensive disaster management priority actions: | Tropical cyclones and storm surge protection; | Disaster preparedness and construction of flood and cyclone shelters; | Improved Early warning system for tropical cyclone, flood, flash flood and drought 
Implementing Agency for Sectoral Conditional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3000 MillionEcosystem based adaptation (incl. forestry co-management) (Priority action: Biodiversity and ecosystem conservation) 
Implementing Agency for Sectoral Conditional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2500 Million.Community based conservation of wetlands and coastal areas
Implementing Agency for Sectoral Conditonal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1000 Million.Building climate resilient infrastructure (Priority action: Climate resilient infrastructure and communication)
Implementing Agency for Sectoral Conditonal Actions
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5000 MillionINDC implementation will be taken forward by existing governance arrangements under the BCCSAP, with coordination being managed by the climate change secretariat in the Ministry of Environment and Forests, reporting to the Advisory Committee and the National Environment Committee (chaired by the Prime Minister)
Estimated Cost for Sectoral Conditional Actions
USD 3000 Million
USD 10,000 Million</t>
  </si>
  <si>
    <t>The contribution covers the power sector, and energy use in the transport and industry sectors. Other sectors are not included in the quantified contribution, but are included as action-based conditional contributions."</t>
  </si>
  <si>
    <t>Stress tolerant (salinity, drought and flood) variety improvement and cultivation (including livestock and fisheries)".Stress tolerant (salinity, drought and flood) variety improvement and cultivation (including livestock and fisheries)"."Research and knowledge management" (11).Tropical cyclones and storm surge protection" (11).Disaster preparedness and construction of flood and cyclone shelters" (11). Improved Early warning system for tropical cyclone, flood, flash flood and drought" (11).Biodiversity and ecosystem conservation" (11).Adaptation to climate change impacts on health" (11). 
"Climate resilient housing" (11). Climate resilient infrastructure and communication" (11). 
"Improvement of Urban resilience through improvement of drainage system to address urban flooding" (11).
"Climate resilient infrastructure and communication" (11).River training and dredging (including excavation of water bodies, canals and drains)" (11)</t>
  </si>
  <si>
    <t> 08/26/2021</t>
  </si>
  <si>
    <t>Energy, IPPU, AFOLU, Waste</t>
  </si>
  <si>
    <t>"Agriculture and livestock unconditional GHG reduction by mitigation: 0.64 MtCO2e, 2.32%""."Commercial sector unconditional GHG reduction by mitigation: 0.41 MtCO2e, 1.49%". "F gases unconditional GHG reduction by mitigation: 2.14 MtCO2e, 7.76%". Fugitive sector conditional GHG reduction by mitigation: 4.28 MtCO2e, 6.91%"."Nitrous Oxide emission reduction from nitrogen-based Fertilizer: Improvement of fertilizer management (deep placement of urea in rice field, training, awareness) in 150,000 ha". Nitrous Oxide emission reduction from nitrogen-based Fertilizer: Improvement of fertilizer management (deep placement of urea in rice field, training, awareness) in 150,000 ha". lower energy intensity in 2030 by 20% compared to the 2013 level; 95 million toe. 19% and 25% emission reduction in household and commercial buildings respectively. Achieve 10% Energy efficiency in the Industry sub-sector through measures according to the Energy Efficiency and Conservation Master Plan (EECMP)". "Achieve 10% Energy efficiency in the Industry sub-sector through measures according to the Energy Efficiency and Conservation Master Plan (EECMP)"."Fugitive sector conditional GHG reduction by mitigation: 4.28 MtCO2e, 6.91%". "Fugitive sector conditional GHG reduction by mitigation: 4.28 MtCO2e, 6.91%".Solar-2277 MW, Wind-597 MW, Biomass-50 MW, Biogas-5 MW, New Hydro-1000 MW, Solar Mini-grid-56.8 MW, Waste to Electricity128.5 MW."Achieve 10% Energy efficiency in the Industry sub-sector through measures according to the Energy Efficiency and Conservation Master Plan (EECMP)". 14% emission reduction through Banning Fixed Chimney kiln (FCK), encourage advanced technology and non-fired brick use". "Afforestation and reforestation in the coastal areas, islands and degraded areas – 150,000 ha". "Transport sector conditional GHG reduction by mitigation: 6.33 MtCO2e, 10.23%". 
"MSW and wastewater conditional GHG reduction by mitigation: 1.84 MtCO2e, 2.97%". MSW and wastewater conditional GHG reduction by mitigation: 1.84 MtCO2e, 2.97%".</t>
  </si>
  <si>
    <t> US$5.7 billion as adaptation finance by 25</t>
  </si>
  <si>
    <t>"In the unconditional scenario, GHG emissions would be reduced by 27.56 Mt CO2e (6.73%) below BAU in 2030 in the respective sectors. 26.3 Mt CO2e (95.4%) of this emission reduction will be from the Energy sector while 0.64 (2.3%) and 0.6 (2.2%) Mt CO2e reduction will be from AFOLU (agriculture) and waste sector respectively. There will be no reduction in the IPPU sector."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The conditional scenario has 59.7Mt CO2e (96.46%) emission reduction from the Energy sector, while 0.4 (0.65%) and 1.84 (2.97%) Mt CO2e reduction will be from AFOLU (agriculture) and Waste Sector respectively. There will be no reduction in the IPPU Sector. Table 3 presents the GHG reduction under unconditional and conditional scenarios."</t>
  </si>
  <si>
    <t>Barbados</t>
  </si>
  <si>
    <t>09/30/2015</t>
  </si>
  <si>
    <t>Energy (including domestic transport)
Industrial Process and Product Use
Waste
Agriculture, Land Use, Land Use Change and Forestry, "Potential emissions reductions from Industrial Process and Product Use, Agriculture and Land Use, Land Use Change and Forestry were not considered, although these sectors are included in the baseline inventory and therefore the ‘economy wide’ savings."</t>
  </si>
  <si>
    <t>Mainstream climate adaptation into sectoral plans including for agriculture, fisheries, water and health.Coastal Zone Management Plan. Storm Water Management Plan. White Paper on the Development of Tourism in Barbados and National Adaptation|Strategy to Address Climate Change in the Tourism Sector in Barbados</t>
  </si>
  <si>
    <t>04/22/2016</t>
  </si>
  <si>
    <t>07/30/2021</t>
  </si>
  <si>
    <t>Energy sector, including transport; IPPU; Agriculture; LULUCF; Waste</t>
  </si>
  <si>
    <t xml:space="preserve">95% share of renewable energy in the electricity mix". 29% decrease in industrial, commercial and residential fuel consumption as compared to BAU. 
"Initial target of retrofitting 3,000 low-income homes with solar PV by 2030 under the Roofs to Reefs Program". 29% decrease in industrial, commercial and residential fuel consumption as compared to BAU. 100% electric or alternatively-fueled vehicles in the passenger fleet. "20% increase in energy efficiency across all sectors as compared to BAU". 100% electric or alternatively-fueled vehicles in the passenger fleet. 100% electric or alternatively-fueled vehicles in the passenger fleet. 
20% decrease in waste by 2030. 29% decrease in industrial, commercial and residential fuel consumption as compared to BAU. 
29% decrease in industrial, commercial and residential fuel consumption as compared to BAU. </t>
  </si>
  <si>
    <t>Belarus</t>
  </si>
  <si>
    <t> 09/25/2015</t>
  </si>
  <si>
    <t>28 </t>
  </si>
  <si>
    <t>Power industry; industrial processes; use of solvents; agriculture; waste</t>
  </si>
  <si>
    <t>Energy, Industrial Processes and Product Use (IPPU), Agriculture, Waste, and LULUCF.</t>
  </si>
  <si>
    <t>"State Programme “Agribusiness” for 2021-2025 adopted by the Resolution of the Council of Ministers of the Republic of Belarus of February 1, 2021, No. 59.". "State Programme “Energy Saving” for 2021-2025 adopted by the Resolution of the Council of Ministers of the Republic of Belarus of February 19, 2021, No. 103". "State Programme “Environmental Protection and Sustainable Use of Natural Resources” for 2021-2025 adopted by the Resolution of the Council of Ministers of the Republic of Belarus of February 19, 2021, No. 99". "State Programme “Belarusian Forest” for 2021-2025 adopted by the Resolution of the Council of Ministers of the Republic of Belarus of January 28, 2021, No. 52". "State Programme “Transport System” for 2021-2025 adopted by the Resolution of the Council of Ministers of the Republic of Belarus of March 23, 2021, No. 165"</t>
  </si>
  <si>
    <t>Belgium</t>
  </si>
  <si>
    <t>2030 </t>
  </si>
  <si>
    <t>Belize</t>
  </si>
  <si>
    <t> 10/01/2015</t>
  </si>
  <si>
    <t>2015-2030</t>
  </si>
  <si>
    <t>Both short and long-term measures to address critical gaps in technological developments relevant to crop production, better soil management practices, diversification into drought resistant crops and livestock, and farm production adaptations which include, but is not limited to, land use, land topography and increasing use of low-water irrigation systems.Estimated Cost for Sectoral Conditional Actions USD 13 Million; Sustainable management of the Fisheries Sector;|Conservation and preservation of fisheries resources and marine habitats in promoting reef ecosystem resilience. Estimated Cost for Sectoral Conditional Actions USD 0.5-0.75 Million. romote and adopt the Belize Integrated Coastal Zone Management Plan: support important ecological functions, as well as social, cultural and economic prosperity for current and future generations; ensure responsible and sustainable use of Belizeâ€™s coastal and marine resources in the face of Climate Change. Estimated Cost for Sectoral Conditional Actions USD 0.5 Million (per year). National Climate Resilience Investment Plan: cross-sectoral plan that identifies both physical and non-physical interventions that take into account current and future risks posed by current and future climate variability. USD 231.4 Million. Strengthen and improve human health: conduct a Vulnerability and Capacity assessment for the health sector, in order to adopt practices and technologies that will reduce exposure and health impacts from extreme heat, and improve physical infrastructure of health institutions and their functional capacity.Integrating Climate Change in Revised National Forest plan: provide guidance for actions that concerns the direct and indirect threats posed by global Climate Change on forests and forest dependent people in order to reduce their vulnerability. USD 5.158 Million. Integrate climate change in the tourism sector: assess the vulnerability of tourism system to climate change and ensure the mainstreaming of climate change consideration throughout the sector to enhance ecosystem resilience, equitable distribution of tourism activities and fostering of sustainable tourism development, at a local and national scale.Integrate climate change in the tourism sector: assess the vulnerability of tourism system to climate change and ensure the mainstreaming of climate change consideration throughout the sector to enhance ecosystem resilience, equitable distribution of tourism activities and fostering of sustainable tourism development, at a local and national scale.Enhance resiliency of transport sector: vulnerability assessment should be undertaken with greater focus on transport infrastructure, particularly in urban areas and other areas which are critical to sustain the country's productive sectors (tourism, agriculture and ports).Building resilience of human settlements: promote the adoption of an integrated land tenure and land classification policy;|Discourage the establishment of human settlements in areas prone to natural hazards (flooding, land slippages, high winds and storm surges) and develop housing and settlement patterns/practices that enhance adaptation and resilience.National Integrated Waste Management Programme to improve waste management: including programmes to reduce, reuse, recover and recycle, solid waste and reduce GHG emissions. Improved integrated water resource management: enhance the protection and restoration of forest ecosystems and build the resiliency of water catchment areas.</t>
  </si>
  <si>
    <t>04/20/2016</t>
  </si>
  <si>
    <t>"Reduction of fuel wood consumptio-by 27% - 66%";
"85% renewable energy by 2030 by implementing hydropower, solar, wind and biomass, and reduction of transmission and distribution losses."
Aim is to achieve at least a 20% reduction in conventional transportation fuel use by 2030 and promote energy efficiency in the transport sector through appropriate policies and investments.</t>
  </si>
  <si>
    <t>LUCF, Agriculture, Energy, Waste management</t>
  </si>
  <si>
    <t xml:space="preserve">Restore 200 hectares of arable sugar land in Northern Belize that has been denuded over time by use." 80,000 haof the agro-landscape improved; 30,500 ha under sustainable agriculture systems and 15,000 ha in production systems. "Reduce methane emissions from livestock by 10% by 2030 and avoid emissions of at least 4.5 KtCO2e16 related to agriculturally driven land use change by 2025." "Improve energy efficiency and conservation by at least 10% by 2030 compared to a BAU baseline projection, 19 including through an increase of appliance efficiency in buildings and implementation of building codes, appliance standards and labels and promotion of energy efficient technology in the tourism sector". "Improve energy efficiency and conservation by at least 10% by 2030 compared to a BAU baseline projection, 19 including through an increase of appliance efficiency in buildings and implementation of building codes, appliance standards and labels and promotion of energy efficient technology in the tourism sector"
Impacts of target at least 10% improvent in energy efficiencty by 2030 compared to a BAU. "Improve energy efficiency and conservation by at least 10% by 2030 compared to a BAU baseline projection, 19 including through an increase of appliance efficiency in buildings and implementation of building codes, appliance standards and labels and promotion of energy efficient technology in the tourism sector". Avoid 44 KtCO2e in the national electricity supply by 2030 through the introduction of expanded capacity from renewable energy sources".Avoid 44 KtCO2e in the national electricity supply by 2030 through the introduction of expanded capacity from renewable energy sources". "Achieve 75% gross generation of electricity from renewable energy sources by 2030 through the implementation of hydropower, solar, wind and biomass, including in the tourism sector; Implement an interconnection policy and regulatory framework to facilitate distributed renewable power generation by 2022". at least 10% improvent in energy efficiencty by 2030 compared to a BAU.  75% gross generation of electricity from renewable energy sources by 2030. at least 10% improvent in energy efficiencty by 2030 compared to a BAU. 15% reduction in conventional transportation fuel use by 2030; 15% efficiency per passenger. "Avoid 44 KtCO2e in the national electricity supply by 2030 through the introduction of expanded capacity from renewable energy sources". 75% gross generation of electricity from renewable energy sources by 2030. 75% gross generation of electricity from renewable energy sources by 2030. 75% gross generation of electricity from renewable energy sources by 2030. 75% gross generation of electricity from renewable energy sources by 2030. 
"Promote and monitor the stewardship of 10,000 hectares of local community and indigenous people’s lands as sustainably managed landscape to serve as net carbon sinks.". reforestation practices for 1,400 ha in forest area, 6,000 ha of degraded and deforested riparian forests by 2030, 750 ha in key watersheds by 2025. 
"Improve efficiency in the public transit system through the deployment of 77 hybrid and electric buses by 2030 (17 by 2025)". 15% reduction in conventional transportation fuel use by 2030; 15% efficiency per passenger. Improve efficiency in the public transit system through the deployment of 77 hybrid and electric buses by 2030 (17 by 2025)". "Improve waste management processes to avoid emissions of up to 18 KtCO2e per year by 2030, in line with the national waste management strategy". "Achieve 75% gross generation of electricity from renewable energy sources by 2030 through the implementation of hydropower, solar, wind and biomass, including in the tourism sector; Implement an interconnection policy and regulatory framework to facilitate distributed renewable power generation by 2022". </t>
  </si>
  <si>
    <t>USD$ 318 million</t>
  </si>
  <si>
    <t>Implement reforestation practices for 1,400 hectares in forest areas inside protected areas, as well as the restoration of 6,000 hectares of degraded and deforested riparian forests by 2030, with 750 hectares of this being restored in key watersheds by 2025"
"Reduce degradation in 42,600 hectares of forest within protected areas by reducing fire incidence, improving logging practices, and controlling other human disturbance by 2030."
"Incorporate and monitor agroforestry practices into at least 8,000 hectares of agricultural landscapes by 2030 by planting shade trees,13 in line with the draft National Agroforestry Policy, with 4,500 hectares of this being implemented by 2025 conditional on adoption, implementation and financing of the agroforestry policy"
"Promote and monitor the stewardship of 10,000 hectares of local community and indigenous people’s lands as sustainably managed landscape to serve as net carbon sinks"
"Promote and monitor the stewardship of 10,000 hectares of local community and indigenous people’s lands as sustainably managed landscape to serve as net carbon sinks"
"Restore at least 2,000 hectares of mangroves, including within local communities, by 2025, with an additional 2,000 hectares by 2030."
"Improve the management of 80,000 hectares of the agro-landscape through good agricultural and silvopastoral practices, including by bringing 30,500 hectares under sustainable agriculture systems with biodiversity benefits and 15,000 hectares in production systems under sustainable land management"
"Restore 200 hectares of arable sugar land in Northern Belize that has been denuded over time by use"
"Reduction in transmission and distribution losses from 12% to 10% by 2030 resulting in reduced electricity demand and better quality of supply"
"Improve energy efficiency and conservation by at least 10% by 2030 compared to a BAU baseline projection, 19 including through an increase of appliance efficiency in buildings and implementation of building codes, appliance standards and labels and promotion of energy efficient technology in the tourism sector"
"Achieve 75% gross generation of electricity from renewable energy sources by 2030 through the implementation of hydropower, solar, wind and biomass, including in the tourism sector"
"Install 40 MW utility-scale solar power by 2025"
"Improve efficiency in the public transit system through the deployment of 77 hybrid and electric buses by 2030 (17 by 2025)"
"Close all municipal dumps by 2025 and implement rural waste management system including rural collection and drop off services by 2030"
"End the open burning of waste by 2025 by extending regular municipal services to all households and commercial premises"</t>
  </si>
  <si>
    <t>Benin</t>
  </si>
  <si>
    <t>3,5 </t>
  </si>
  <si>
    <t>Energie (transport, secteur résidentiel, industries énergétiques)
Agriculture (sols agricoles, rizières, brûlage des résidus agricoles, brûlage dirigé des savanes).
UTCATF (terres forestières incluant les forêts naturelles et les plantations)”</t>
  </si>
  <si>
    <t>Energy, Waste, IPPU, AFOLU</t>
  </si>
  <si>
    <t>Bhutan</t>
  </si>
  <si>
    <t> 09/30/2015</t>
  </si>
  <si>
    <t>Not specified; various sectors mentioned for mitigation plans and actions, such as forest, energy, transport, waste, and agriculture.</t>
  </si>
  <si>
    <t>09/19/2017</t>
  </si>
  <si>
    <t>06/24/2021</t>
  </si>
  <si>
    <t>For the overall target to remain carbon neutral, all gases and sectors are as described in the Third National Communication."</t>
  </si>
  <si>
    <t>Bolivia</t>
  </si>
  <si>
    <t>Not specified; various sectors mentioned for mitigation plans and actions, such as water, energy, forest and agriculture.</t>
  </si>
  <si>
    <t>Unconditional commitment: “With regard to energy, actions are promoted with a focus on mitigation and adaptation to climate change and holistic development, achieving the following results…increased participation of renewable energy to 79% by 2030 from 39% in 2010…and…develop the export potential of electricity, generated mainly by renewable energies, reaching to export an estimated 8,930 MW by 2030, increasing energy state income.” To achieve results related to energy the following measures and actions will be promoted: “Change and diversification of the energy matrix with renewable energy growth through the construction of hydropower (small and medium hydro power plants, large hydro and multipurpose) and boost alternative energy (wind, biomass, geothermal and solar), and use other sources of energy (steam combined cycle)…and promotion of energy surplus export from renewable sources, positioning Bolivia as a regional powerhouse with clean energy.” Conditional commitment: “Increased participation of renewable energy to 81% by 2030, compared to 39% in 2010.”</t>
  </si>
  <si>
    <t>04/15/2022</t>
  </si>
  <si>
    <t>All Sectors including LULUCF</t>
  </si>
  <si>
    <t>"By 2030, Universal Access to 100% electricity coverage will be achieved."
"By 2030, users are expected to produce an approximate of 76.9 GWh as electrical energy demanded nationwide (37MW of installed power)."
"By 2030, 79% of the energy consumed has been achieved to come from plants based on renewable energies (50% of the installed capacity)."
"By 2030, 19% of the energy consumed has been achieved to come from plants based on alternative energies (13.25% of the installed capacity)."
"By 2030, the installed capacity of the interconnected electrical system has been achieved reaching 5,028 MW."
"By 2030, the interconnection of 5 Isolated Systems to the SIN has been achieved."
"By 2030, 8 Isolated Systems have been achieved to be hybrid, including their generation matrix from renewable sources."
"By 2030, the replacement of 6% of the national inventory of street lighting by LED technology has been achieved."
"By 2030, an annual growth of 10% in the share of electric vehicles in the public transport fleet in Bolivia has been achieved."
"By 2030, 3 pilot projects of electric energy storage and management technologies have been implemented."
"By 2030, reduce deforestation to 80% compared to baseline."
"By 2030, to reduce deforestation in National Protected Areas by 100%."
"By 2030, reduce the area with forest fires by 60%, compared to baseline."
"By 2030, double the areas under integral and sustainable forest management."
"By 2030, increase the gain in forest cover by one million hectares."
"By 2030, double the production of authorised timber compared to the average of 2016-2020."
"By 2030, to double the production of non-timber forest products compared to the 2016-2020 average."
"By 2030, 100% of drinking water coverage with resilient service delivery systems has been achieved."
"By 2030, 100% basic sanitation has been achieved."
"By 2030, 1.4 billion m3 of water storage capacity has been reached."
"By 2030, 1.3 million hectares have been reached under efficient irrigation."
"By 2030, 12 million hectares have been reached with Integrated Watershed Management (MIC)"
"By 2030, 51 planning instruments have been approved for the management of prioritized basins, of which 60% are implemented."
"By 2030, 900 km have been reached with resilient infrastructure for hydraulic control."
"By 2030, 16 million ha of wetland area designated as Ramsar Sites have been maintained and conserved."
"By 2030, the number of inhabitants of rural areas and peri-urban areas with high food insecurity was reduced by 75%."
"By 2030, the sanitation of agricultural property will be 100% completed, with at least 43% of the right to own the land for women."
"By 2030, at least an additional 725,000 hectares of degraded soils for food production will be recovered and increased."
"By 2030, production will increase by 70% of strategic crops nationwide."
"By 2030, the average yield of strategic crops at the national level will be increased by 60%."
"By 2030, 15 billion Bolivians will be invested in resilient productive infrastructure."</t>
  </si>
  <si>
    <t>Bosnia and Herzegovina</t>
  </si>
  <si>
    <t> 23</t>
  </si>
  <si>
    <t>Energy, Industrial Processes, Agriculture, Land-use change and forestry (sinks), Waste.</t>
  </si>
  <si>
    <t>03/16/2017</t>
  </si>
  <si>
    <t>Bosnia and Herzegovina outlines the following mitigation activities in its INDC: “to install mini hydro power plants with the power generation capacity of up to 10 MW and the total generation capacity of 120 MW, by 2030; to install wind farms of the power generation capacity of 175 MW by 2030; to install photovoltaic modules of the total power generation capacity of 4 MW by 2030; and to introduce renewable energy sources in the existing district heating systems and to construct new district heating systems fuel led by renewable energy sources.”</t>
  </si>
  <si>
    <t>04/19/2021</t>
  </si>
  <si>
    <t> 33,2</t>
  </si>
  <si>
    <t>Power, district heating, building, transport, industry, agriculture, forestry (through increased sinks), waste and cross-cutting sector (applies to all sectors that use refrigeration and air conditioning equipment)"</t>
  </si>
  <si>
    <t>"750 MW of substitute and new coal-fired power plants". "750 MW of substitute and new coal-fired power plants". "In the forestry sector, measures are planned to increase the sinks by 93 GgCO2eq until 2030"</t>
  </si>
  <si>
    <t>Botswana</t>
  </si>
  <si>
    <t> 15</t>
  </si>
  <si>
    <t>"Energy sector (mobile and stationary sources), Waste, and Agriculture"</t>
  </si>
  <si>
    <t> 11/11/2016</t>
  </si>
  <si>
    <t>12/24/2024</t>
  </si>
  <si>
    <t> 2023-2030</t>
  </si>
  <si>
    <t>The key sectors covered by this NDC: • Energy (electricity generation and transport • IPPU • AFULO"</t>
  </si>
  <si>
    <t>"AFOLU: The target GHG emissions reduction is 118 Gg CO2 eq. by 2030". 
15% and 10% commercial and subsistence livestock by 2025 and 30% and 20% respectively by 2030. "Retrofitting of public buildings". "increase the share of renewable energy sources in the transport sector by 10% each decade" (National Integrated Transport Policy). "increase the share of renewable energy sources in the transport sector by 10% each decade" (National Integrated Transport Policy). "Solar PV plant", 1296.7 Gg CO2eq by 2030. AFOLU: The target GHG emissions reduction is 118 Gg CO2 eq. by 2030". "The National Integrated Transport Policy aims to increase public transport's share of total transport use to 30% by 2030"</t>
  </si>
  <si>
    <t>Brazil</t>
  </si>
  <si>
    <t> 09/28/2015</t>
  </si>
  <si>
    <t>Brazil's target covers all sectors </t>
  </si>
  <si>
    <t>“Brazil will adopt further measures that are consistent with the 2°C temperature goal, in particular, in the energy sector, achieving 45% of renewables in the energy mix by 2030. This includes expanding the use of renewable energy sources other than hydropower in the total energy mix to between 28% and 33% by 2030, and expanding the use of non-fossil-fuel energy sources domestically, by increasing the share of renewables (other than hydropower) in the power supply to at least 23% by 2030, including by raising the share of wind, biomass and solar.”</t>
  </si>
  <si>
    <t>48.4</t>
  </si>
  <si>
    <t>"Economy-wide absolute targets, consistent with the sectors present in the National Inventory of Greenhouse Gas Emissions for 2025 and 2030."</t>
  </si>
  <si>
    <t>Despite this, the Brazilian government has chosen to go even beyond existing laws and policies and commit to reach zero deforestation by 2030, according to the Action Plan for the Prevention and Control of Deforestation in the Legal Amazon (PPCDAm)."</t>
  </si>
  <si>
    <t>11/13/2024</t>
  </si>
  <si>
    <t>2020-2035</t>
  </si>
  <si>
    <t xml:space="preserve">"increase the share of biofuels in the transport energy matrix by 50%" (New Industry Brazil); "increase the share of biofuels in the transport energy matrix by 50%" (New Industry Brazil); "increase the technological and sustainable use of biodiversity by industry by 1% per year" (New Industry Brazil). "restore 6 million hectares of forest by 2030 and 24 million hectares by 2050" (Arc of Restoration); "increase the technological and sustainable use of biodiversity by industry by 1% per year" (New Industry Brazil). "restore 6 million hectares of forest by 2030 and 24 million hectares by 2050" (Arc of Restoration). "increase the share of biofuels in the transport energy matrix by 50%" (New Industry Brazil). </t>
  </si>
  <si>
    <t>Brunei</t>
  </si>
  <si>
    <t>Energy sector: to reduce total energy consumption by 63% by 2035 compared to a Business-AsUsual (BAU) scenario; and to increase the share of renewables so that 10% of the total power generation is sourced from renewable energy by 2035
Forestry sector: to increase the total gazette forest reserves to 55% of total land area, compared to the current levels of 41%."</t>
  </si>
  <si>
    <t>12/30/2020</t>
  </si>
  <si>
    <t>Energy, Industrial Processes and Product Use, Agriculture, Forestry and Other Land Use, and Waste.</t>
  </si>
  <si>
    <t>Bulgaria</t>
  </si>
  <si>
    <t>11/29/2016</t>
  </si>
  <si>
    <t> 40</t>
  </si>
  <si>
    <t>Energy, Industrial processes and product use, Agriculture, Waste, Land Use, Land-Use Change and Forestry (set out in Decision 529/2013/EU)</t>
  </si>
  <si>
    <t>Burkina Faso</t>
  </si>
  <si>
    <t>10/23/2015</t>
  </si>
  <si>
    <t>Agriculture; energy, including the transportation sector; waste; industrial processes; land use; land use changes and forestry (LULUCF); Reduction contribution from Agriculture, Waste and Energy sectors.</t>
  </si>
  <si>
    <t>$756,032,667</t>
  </si>
  <si>
    <t>$5,804,949,915</t>
  </si>
  <si>
    <r>
      <t>A third scenario, Adaptation (annexe 2), which aims, among other things, to restore and develop 5,055 million ha of degraded lands at the 2030 horizon, corresponding to 55% of the total current area of degraded lands in the country and making it possible to feed more than 6 million additional persons at the 2030 horizon. Moreover, these adaptation projects will contribute to a reduction in GHG emissions of 43,707 Gg of CO</t>
    </r>
    <r>
      <rPr>
        <vertAlign val="subscript"/>
        <sz val="11"/>
        <color rgb="FF0A1941"/>
        <rFont val="Arial"/>
        <family val="2"/>
      </rPr>
      <t>2</t>
    </r>
    <r>
      <rPr>
        <sz val="14"/>
        <color rgb="FF0A1941"/>
        <rFont val="Arial"/>
        <family val="2"/>
      </rPr>
      <t>, i.e. 36.95% when compared to BaU, for an overall investment of US $5,804,949,915."</t>
    </r>
  </si>
  <si>
    <t>Agriculture; energy, including the transportation sector; waste; industrial processes; land use; land use changes and forestry (LULUCF). Reduction contribution from Agriculture, Waste and Energy sectors.</t>
  </si>
  <si>
    <t xml:space="preserve">Acquisition and installation of 1,500,000 light-emitting diode (LED) lamps to replace fluorescent tube lamps in households"; 79.91 Gg CO2e by 2025; 159.82 Gg CO2e by 2030; 479.47 Gg CO2e by 2050; "Electrification project by solar system of socio-community infrastructures in 300 rural localities"; 18.09 Gg CO2 by 2025; 36.19 Gg CO2e by 2030; 108.56 Gg CO2e by 2050; "Realization of 100,000 hectares of Assisted Natural Regeneration in 25 communes of Burkina Faso"; </t>
  </si>
  <si>
    <t>$1,147,25,11 </t>
  </si>
  <si>
    <t>137 25 589</t>
  </si>
  <si>
    <t>Burundi</t>
  </si>
  <si>
    <t>Energy (Fuel combustion activities), Agriculture &amp; livestock (Agricultural soils), Land use and forestry (Forestland)</t>
  </si>
  <si>
    <t>US$K 3,719</t>
  </si>
  <si>
    <t>01/19/2018</t>
  </si>
  <si>
    <t>12.98</t>
  </si>
  <si>
    <t>27 84 638 USD</t>
  </si>
  <si>
    <t>1.452.121.891 </t>
  </si>
  <si>
    <t>Cabo Verde</t>
  </si>
  <si>
    <t>Energy, transport, waste, AFOLU (Agriculture, Forestry and Other Land Use)</t>
  </si>
  <si>
    <t>"Cabo Verde makes an unconditional commitment:
to achieve 100% grid access by 2017; and
to achieve a 30% renewable energy penetration rate into the electric grid by 2025.
With international support, Cabo Verde seeks to increase the renewable energy uptake in electricity to 100% by 2025, with best efforts to achieve this goal already by 2020, in accordance with the following indicative trajectory:
35% RE penetration rate in 2016-2018;
50% RE penetration rate in 2018-2020;
100% RE penetration rate in 2020-2025."
Energy Efficiency
"Cabo Verde makes an unconditional long-term commitment to reduce overall energy demand by 10% in relation to the Base Scenario by 2030.
With international support, Cabo Verde seeks to reduce overall energy demand by 20% in relation to the Base Scenario by 2030, with best efforts to achieve this indicative reduction effort already by 2025."</t>
  </si>
  <si>
    <t> 09/21/2017</t>
  </si>
  <si>
    <t>Energy; Industrial processes; Agriculture; Waste; Land Use, Land-Use Change and Forestry (LULUCF)</t>
  </si>
  <si>
    <t> 04/05/2021</t>
  </si>
  <si>
    <t>"Cabo Verde undertakes to make a major shift towards the low-carbon economy by increasing the RE share in the electricity supply (today at 18.4%) to 30% (in 2025) and up to 50% in 2030"; "By 2025, establish the procurement rules for the acquisition of 100% EV by institutional entities and have at least 50% of EV in the new acquisition of urban collective transport"; "Cabo Verde undertakes to electrify at least 25% of its land-borne transport fleet (new vehicles) by 2030 by resorting to RE sources. Conditional on adequate international support, the shares per vehicle category could increase to 50% in favor of public, collective high-passenger load vehicles"; "Cabo Verde undertakes to electrify at least 25% of its land-borne transport fleet (new vehicles) by 2030 by resorting to RE sources. Conditional on adequate international support, the shares per vehicle category could increase to 50% in favor of public, collective high-passenger load vehicles".Decrease total electricity losses to 10% by 2030, from a baseline of 23% in 2017"."Install of a waste-to-energy biogas landfill in Santiago by 2025 and construction of 8 biogas plants across islands by 2030"."Cabo Verde also undertakes to secure on-grid or off-grid electricity supply across nine islands and to reach 100% access to electricity for all consumers by 2023". "10 MW photovoltaic solar power plant for Santiago (start by 2022)"."Install of a waste-to-energy biogas landfill in Santiago by 2025 and construction of 8 biogas plants across islands by 2030". 
"Increase wind energy capacity by installing 10 MW wind farm for Santiago by 2022 and 60 MW by 2030". "By 2025, deliminate priority areas, accounting for 6 000 hectares, which contribute to the conservation and protection of soils, wetlands, headwaters, ribeiras and water bodies and verify compatibility with other land uses". "By 2030, commit to afforestation of 7 000 hectares with diverse, resilient, adapted species". "By 2030, commit to afforestation of 7 000 hectares with diverse, resilient, adapted species".  "By 2025, establish the procurement rules for the acquisition of 100% EV by institutional entities and have at least 50% of EV in the new acquisition of urban collective transport".</t>
  </si>
  <si>
    <t>"Cabo Verde undertakes to reduce energy demand by 7% below BAU projections through change in the energy mix and energy efficiency improvements. With adequate support, the reduction commitment can be increased to 15% below BAU projections."
"Cabo Verde undertakes to make a major shift towards the low-carbon economy by increasing the RE share in the electricity supply (today at 18.4%) to 30% (in 2025) and up to 50% in 2030."
"Cabo Verde undertakes to electrify at least 25% of its land-borne transport fleet (new vehicles) by 2030 by resorting to RE sources. Conditional on adequate international support, the shares per vehicle category could increase to 50% in favor of public, collective high-passenger load vehicles."
"Cabo Verde undertakes to strengthen sustainable tourism as a factor for local empowerment and economic development, ensuring climate resilience and diversification and increasing decent employment. International and national efforts combined seek to reduce overall GHG emissions from tourism by 20% per visitor/day by 2030."
Please see the "mitigation contributions" in the full text for more detailed sectoral non-GHG targets.</t>
  </si>
  <si>
    <t>Cambodia</t>
  </si>
  <si>
    <t> 27</t>
  </si>
  <si>
    <t>Energy Industries; Manufacturing Industries; Transport; Waste; Buildings; and Land Use, Land-Use Change and Forestry</t>
  </si>
  <si>
    <t>Cambodia has proposed a 27% reduction in emissions below BAU by 2030, as well as a LULUCF contribution of 4.7 tCO2e/ha/year.
"Cambodia wishes to propose a GHG mitigation contribution for the period 2020 - 2030, conditional upon the availability of support from the international community, in particular in accordance with Article 4.3 of the UNFCCC. Significantly, despite Cambodia's status as an LDC, Cambodia is implementing actions in accordance with our sustainable development needs that also address climate change:
(i)Energy industries, manufacturing industries, transport, and other sectors: Cambodia intends to undertake actions as listed in Table 1, the impact of which is expected to be a maximum reduction of 3,100 Gg CO2eq compared to baseline emissions of 11,600 Gg CO2eq by 2030.
(ii) LULUCF: Cambodia intends to undertake voluntary and conditional actions to achieve the target of increasing forest cover to 60% of national land area by 2030. In absence of any actions the net sequestration from LULUCF is expected to 6 reduce to 7,897 GgCO2 in 2030 compared to projected sequestration of 18,492 GgCO2 in 2010."
The INDC also includes a section on Adaptation.</t>
  </si>
  <si>
    <t> 42</t>
  </si>
  <si>
    <t>Forest and other Land Use (FOLU), Energy, Agriculture, Industry (IPPU), Waste</t>
  </si>
  <si>
    <t xml:space="preserve">"Agriculture: NDC 2030 reduction (MtCO2e) : -6.2; NDC 2030 remission reduction % : -23%". "Energy: NDC 2030 reduction (MtCO2e) : -13.7; NDC 2030 remission reduction % : -40%"
Emission reduction potential
13.7 MtCO2e by 2030, 40% emission reduction. "Industry (IPPU): NDC 2030 reduction (MtCO2e) : -5.9; NDC 2030 remission reduction % : -42%". "FOLU: NDC 2030 reduction (MtCO2e) : -38.1; NDC 2030 remission reduction % : -50%". Waste: NDC 2030 reduction (MtCO2e) : -0.6; NDC 2030 remission reduction % : -18%". </t>
  </si>
  <si>
    <t>Cambodia has proposed a 42% reduction in GHG emission below BAU by 2030. The estimated 2030 emission reductions of an NDC scenario are listed below and “the majority of targets identified are conditional on the international support.”
FOLU: -50% reduction below BAU by 2030. “Cambodia also set an ambitious target in the Forestry and Land Use sector (FOLU) for halving the deforestation rate by 2030, in line with REDD+ strategy.”
Energy: 40% reduction
Agriculture: 23% reduction
Industry (IPPU): 42% reduction
Waste: 18% reduction</t>
  </si>
  <si>
    <t>Cameroon</t>
  </si>
  <si>
    <t>“Agriculture, Energie, Forêt, Déchets – (hors UTCATF pour l’objectif de réduction)”
Agriculture, Energy, Forest, Waste - (not including LULUCF for the reduction target)</t>
  </si>
  <si>
    <t>07/29/2016</t>
  </si>
  <si>
    <t>The amounts indicated, i.e. $ 1.8 billion over 5 years, are indicative, based 1) on the amount of $ 16 per year and per capita proposed by the World Bank for Sub-Saharan Africa and 2) on the hierarchy sectoral priorities of the Cameroonian Government." (1). The total cost is for 216-22 (12)</t>
  </si>
  <si>
    <t> 10/11/2021</t>
  </si>
  <si>
    <t> 35</t>
  </si>
  <si>
    <t>"Agriculture, Forestry and Other Land Uses (AFAT), Energy, Industrial Processes and Use Products (PIUP) and Waste."</t>
  </si>
  <si>
    <t>"Installation of biodigesters in 10% of rural farms". "Distribution of 500,000 improved stoves in the Sudano-Sahelian zone; Production and popularization of improved stoves and natural gas (methane)"."Distribution of 500,000 improved stoves in the Sudano-Sahelian zone; Production and popularization of improved stoves and natural gas (methane)". "Replacement of 5% of fossil fuel vehicles by electric cars by 2030". "Distribution of 500,000 improved stoves in the Sudano-Sahelian zone; Production and popularization of improved stoves and natural gas (methane)". "Efficient lighting installation of 2 million compact fluorescent and LED bulbs". "Replacement of 5% of fossil fuel vehicles by electric cars by 2030"."Efficient lighting installation of 2 million compact fluorescent and LED bulbs".Distribution of 500,000 improved stoves in the Sudano-Sahelian zone; Production and popularization of improved stoves and natural gas (methane)"."Installation of 50,000 solar streetlights in localities with limited or inaccessible access to the electricity grid"."Installation of biodigesters in 10% of rural farms". "Establishment of 600 MW hydropower plants". "Installation of 50,000 solar streetlights in localities with limited or inaccessible access to the electricity grid"."Protection of 3,299,000 ha of forest throughout the national territory"."Protection of 3,299,000 ha of forest throughout the national territory".
"Development of 12,500 ha forage plantations in the Sudano-Sahelian zone and high savannas"."Replacement of 5% of fossil fuel vehicles by electric cars by 2030"."Replacement of 5% of fossil fuel vehicles by electric cars by 2030".Establishment of inter-municipal waste management centers in the ten regions of Cameroon".</t>
  </si>
  <si>
    <t> 31.856 billion USD </t>
  </si>
  <si>
    <t>Total: 31.856 billion USD (p. 49) Agriculture, livestock, fishing: 1.892 billion USD Energy / industry and waste: 5.135 billion USD Infrastructures &amp; sanitation: 6.9754 billion USD Forests: 1.5 billion USD Land use planning / risk management: 1,548 billion USD Health &amp; gender: 9.8232 billion USD Capacity building / communication: .4 billion USD Specific projects dedicated to Agro-Ecological Zones: 5.1152 billion USD</t>
  </si>
  <si>
    <t>Canada</t>
  </si>
  <si>
    <t> 05/15/2015</t>
  </si>
  <si>
    <t> 2005</t>
  </si>
  <si>
    <t>All IPCC sectors</t>
  </si>
  <si>
    <t>Central African Republic</t>
  </si>
  <si>
    <t>Land use, land use change and forestry (LULUCF) (89.46%); energy (5.19%); agriculture (5.26%); waste (0.09%) and industrial processes and use of solvents (2010 data).</t>
  </si>
  <si>
    <t>Unconditional financial needs
"Adaptation: US $1.554 billion over the period of commitment, US $1.441 of which is conditional. A contribution of 1% is envisaged, representing the national counterpart for the projects."
Conditional financial needs
"Adaptation: US $1.554 billion over the period of commitment, US $1.441 of which is conditional. A contribution of 1% is envisaged, representing the national counterpart for the projects." "Underestimation of the cost of investments needed for adaptation may keep in place the development gap caused by climate hazards.The approach taken by the FUND model, which will be supported by the preparatory work of the National Adaptation Plan, estimates the country’s needs for adaptation to climate change at an average of around US $34,5, per year up to 23 and an average of US $57,5, per year up to the year 25. " (12)
Other non-financial support needs
Technology transfer needs by sector: Energy: "Hydroelectric micro-dams"; "Solar heat and solar photovoltaic energy"; "Methanisation processes for organic matter" ; "Improved carbonisation" (12); Agriculture and animal husbandry: "Soil analysis"; "Production, inspection and certification of high quality seeds"; "Integrated management of plant diseases"; "Monitoring prevention and control of animal diseases of a trans-national character impacting human health and ecosystems"; "Agroecology " (12) Industrial processes and use of solvents: "Particle and gas sensors" (12) Land Use Change and Forestry: "Advanced conversion of wood "; "Land and forestry monitoring system" Waste: "Waste recycling"; "Treatment of industrial effluents"; "Waste reclamation" (12) System observatory: "Climatological and meteorological observation system"; "Research" (12)</t>
  </si>
  <si>
    <t> 01/24/2022</t>
  </si>
  <si>
    <t>11.82</t>
  </si>
  <si>
    <t>Energy, AFOLU, Waste, IPPU</t>
  </si>
  <si>
    <t>"Reduce slash-and-burn cultivation practices by 60% in 2030". "Reduce slash-and-burn cultivation practices by 15% in 2025". "100,000 ha in 2030, based on agroforestry". "Households equipped in 2025 and 2030: Solar lighting: 20% and 50% Solar cookers: 5% and 10% LPG: 25% in 2030" Impacts of target. "80% penetration rate in 2030 (targets: 50% of women heads of household) Promoting energy saving in households by popularizing low-energy lamps: Study spinneret; Implementation pilot phase"."80% penetration rate in 2030 (targets: 50% of women heads of household) Promoting energy saving in households by popularizing low-energy lamps: Study spinneret; Implementation pilot phase". Energy:"Conditional NDC emissions (GgeCO2)":"Horizon 2025": 7,360."80% penetration rate in 2030 (targets: 50% of women heads of household) Promoting energy saving in households by popularizing low-energy lamps: Study spinneret; Implementation pilot phase". "The implementation of actions by 2025 and 2030 will enable the CAR to reduce greenhouse gas emissions, in particular hydrofluorocarbons (HFCs), according to the unconditional scenario of -3.91% and -6, 04% respectively in 2025 and 2030; and according to the conditional scenario of -15.65% and -24.16% respectively in 2025 and 2030 compared to the trend scenario". 
"100,000 ha in 2030, based on agroforestry". "12.5% of urban households having planted at least 3 trees in their plot by 2030 (target: 50% female heads of household)".</t>
  </si>
  <si>
    <t>Total Unconditional: $44.38 million (p. 3, 31) Agriculture and Livestock: $12.377 million (p. 31) Forestry: $.451 million (p. 31) Water Resources, Water and Sanitation Services: $13.5 million (p. 31) Land Use Planning: $.187 million (p. 31) Energy: See Mitigation (p. 31) Housing and Infrastructure: $8.22 million (p. 31) Public Health: $.15 million (p. 31) Crosscutting Measures including Communication: $8.332 million (p. 31). Total Conditional: $399.48 million (p. 3, 31) Agriculture and Livestock: $111.396 million (p. 31) Forestry: $22.524 million (p. 31) Water Resources, Water and Sanitation Services: $117.45 million (p. 31) Land Use Planning: $1.689 million (p. 31) Energy: See Mitigation (p. 31) Housing and Infrastructure: $73.98 million (p. 31) Public Health: $1.35 million (p. 31) Crosscutting Measures including Communication: $74.995 million (p. 31)</t>
  </si>
  <si>
    <t>Chad</t>
  </si>
  <si>
    <t> 71</t>
  </si>
  <si>
    <t>Énergie, Agriculture/Elevage, Affectation des terres et Foresterie, Déchets."Energy, Agriculture / Livestock, Land Use and Forestry, Waste.</t>
  </si>
  <si>
    <t>Chad communicates a summary of the projects to be implemented under the INDC, which include the generation of 500 GWh/year of hydropower, 200 GWh/year of solar energy, and 50 GWh/year of wind energy.</t>
  </si>
  <si>
    <t>14.17 billion USD total, 2.79 billion USD unconditional</t>
  </si>
  <si>
    <t>10/19/2021</t>
  </si>
  <si>
    <t>All sectors in accordance with IPCC guidelines (energy, agriculture, UTCAFT, waste), except industrial processes whose emissions are considered negligible"</t>
  </si>
  <si>
    <t xml:space="preserve">"Agriculture unconditional GHG emissions 80,024 kt CO2eq in 2030". "The extension of the use of improved ovens and drying racks for the fishing sector (1,500 chokor-type ovens and 2,000 improved drying racks) allowing the reduction of wood consumption for this activity".The distribution of 3,000,000 low-energy LED lamps to households as well as 100,000 LED office bulbs".Efficient production of 300,000 tons of charcoal to improve production efficiency and therefore reduce wood consumption and CH4 emissions"."Energy conditional GHG emissions 2320 kt CO2eq in 2030". "Electric network conditional scenarios 956.9 million USD". The construction of solar-diesel hybrid power plants for a total of 60 MW (several projects are under study in Sarh, Moundou and Pala)". Implementation of the electricity network interconnection project between Chad and Cameroon, which would make it possible to use hydropower energy (40 MW)". a solar power plant with storage with a capacity of 65 MW. The consideration of 2.2 MW of wind turbines". "Efficient production of 300,000 tons of charcoal to improve production efficiency and therefore reduce wood consumption and CH4 emissions". "Efficient production of 300,000 tons of charcoal to improve production efficiency and therefore reduce wood consumption and CH4 emissions". "LULUCF conditional GHG emissions -15,049 kt CO2eq in 2030"."An ambitious plan to distribute 3,000,000 improved wood stoves and 1,500,000 charcoal". 
"Reforestation and reforestation actions are underway or/planned to improve the carbon sink by 2030. As part of the Bonn Challenge, Chad has committed to reforesting a total of 5 million hectares by 2030, in particular shrub savannas in the Sahelian zone (3.5 Mha) and trees in the Sudanese zone (1.5 Mha). Protection actions to avoid deforestation (877,000 ha) and restoration are also planned (50,000 ha) in the action plan for 2030". "Waste conditional GHG emissions 1,305 kt CO2eq in 2030". "The avoidance of CH4 by installing 10,000 digesters on farms to reduce fossil fuel consumption is considered in the conditional scenario.l". </t>
  </si>
  <si>
    <t>$5.2 billion</t>
  </si>
  <si>
    <t>"The projects considered by 2030 in the scenarios are for the electricity generation sector: Unconditional scenario:"
"The construction of a 210 MW gas-fired turbine power plant located in N'Gouri in Lake Province"
"The inclusion of 2.2 MW of wind turbines"
"The installation of improved drying ovens for the fishing sector (150 chokor type ovens and 200 improved drying racks) allowing savings of 30 to 40% of wood consumption compared to a traditional oven for smoking fish."
"Conditional scenario (additional actions):"
"The construction of two power plants (2x15 MW each) powered by biomass in Moundou and Sarh;
"The implementation of the electricity interconnection project between Chad and Cameroon, which would make it possible to use hydropower (40 MW);"
"The construction of several large-scale photovoltaic power plants for a total of 240 MW in the very short term (2025) and 400 MW by 2030;
"The construction of hybrid solar-diesel power plants for a total of 60 MW (several projects are being studied in Sarh, Moundou and Pala);
"The construction of a solar power plant with storage capacity of 65 MW in the city of N'Djamena;"
"The construction of wind power plants, for a total of 100 MW, in Bol, Mao, Amdjarass, Faya, Biltine, Fada, Guéréfa, Iriba, Kalaite and Arada;"
"The extension of the use of improved kilns and drying racks for the fishing sector (1500 chokor type ovens and 2000 improved drying racks) allowing the reduction of wood consumption for this activity."
"In terms of energy efficiency, the actions are: The distribution of 3,000,000 energy-efficient LED lamps to households as well as 100,000 office LED bulbs; An ambitious plan to distribute 3,000,000 wood-treated stoves and 1,500,000 charcoal-enhanced stoves; The efficient production of 300,000 tons of charcoal to improve production efficiency and thus reduce wood consumption and CH4 emissions."
"Finally, the avoidance of CH4 through the installation of 10,000 digesters on farms to reduce fossil fuel consumption is considered in the conditional scenario."
"As part of the Bonn Challenge, Chad has committed to reforest a total of 5 million hectares by 2030, including shrub savannahs in the Sahelian zone (3.5 Mha) and trees in the Sudanese zone (1.5 Mha). Protection actions to avoid deforestation (877,000 ha) and restoration are also planned (50,000 ha) in the action plan for 2030."</t>
  </si>
  <si>
    <t>Chile</t>
  </si>
  <si>
    <t>Energy, industrial processes, use of solvents and other products, agriculture and waste. It does not include the LULUCF sector.</t>
  </si>
  <si>
    <t>Intensity target</t>
  </si>
  <si>
    <t> 02/10/2017</t>
  </si>
  <si>
    <t xml:space="preserve"> 1,100,000</t>
  </si>
  <si>
    <t>"By 2025, protect at least 20 coastal wetlands as new protected areas"."By 2030, reduce emissions in the forestry sector associated with degradation and deforestation of the native forest by 25%, with respect to average emissions in the period 2001-2013"."By 2030, protect at least 10% of under-represented marine eco-regions (Humboldt, Central Chile, Araucanía and Chiloe), in the framework of a participatory marine spatial planning, based on science and holding criteria to deal with the effects of climate change". "By 2030: 100% of marine protected areas created between 2020 and 2025 will have management or administration plans including actions for adaptation to climate change".By 2030, reduce emissions in the forestry sector associated with degradation and deforestation of the native forest by 25%, with respect to average emissions in the period 2001-2013".</t>
  </si>
  <si>
    <t>Chile commits to the sustainable management and recovery of 200,000 hectares of native forests, representing GHG captures of around 0.9 to 1.2 MtCO2eq annually by 2030.
Chile commits to afforest 200,000 hectares, of which at least 100,000 hectares will comprise permanent forest cover, with at least 70,000 hectares of native species.
By 2025, protect at least 20 coastal wetlands as new protected areas.
By 2030, protect at least 10 additional coastal wetlands as protected areas.
By 2030, protect at least 10% of under-represented marine eco-regions (Humboldt, Central Chile, Araucanía and Chiloe), in the framework of a participatory marine spatial planning, based on science and holding criteria to deal with the effects of climate change.
By 2030: 100% of marine protected areas created between 2020 and 2025 will have management or administration plans including actions for adaptation to climate change.
By 2030, 95% of Rural Health Systems will be inspected and registered, ensuring the quality standards of rural drinking water.
By 2030, 100% of companies in the health sector will have implemented disaster risk management plans, including consideration of risks resulting from climate change.
By 2030, non-treated sewage will be reduced by at least 25%.
By 2025: 100% of marine protected areas created up to 2020 will hold management or administration plans including actions for adaptation to climate change.
By 2025: Management or administration plans of at least 40% of the marine protected areas created before 2020 will be implemented at least through monitoring, control, community involvement and threat control programs.</t>
  </si>
  <si>
    <t>China</t>
  </si>
  <si>
    <t> 06/30/2015</t>
  </si>
  <si>
    <t>Not Specifiedfor GHG targets, but various sectors mentioned for policies and actions such as energy, buildings, transportation, industrial processes, agriculture, forestry and land use</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</si>
  <si>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Moreover, China will continue to proactively adapt to climate change by enhancing mechanisms and capacities to effectively defend against climate change risks in key areas such as agriculture, forestry and water resources, as well as in cities, coastal and ecologically vulnerable areas and to progressively strengthen early warning and emergency response systems and disaster prevention and reduction mechanisms.</t>
  </si>
  <si>
    <t>10/28/2021</t>
  </si>
  <si>
    <t> 65</t>
  </si>
  <si>
    <t>Not Specified</t>
  </si>
  <si>
    <t>"Increase the share of non-fossil fuels in primary energy consumption to around 25%"."Phase out coal and coal power outdated production capacity, and push forward energy-saving and environmentally-friendly upgrades of coal power. The structural reform on the coal supply side has been actively advanced to resolve coal production overcapacity and boost the clean, efficient, and high-quality development of coal power. From 2016 to 2019, over 30 GW of thermal power capacity were eliminated. Energy-saving upgrade goals and tasks for coal power have been set out. As of 2019, the average use of standard coal consumption for power generation by thermal power plants has dropped to 306.4 g/kWh, a decline of 63.6 g/kWh compared with 2005, maintaining the world advanced level. In 2019, nationwide thermal power reduced 860 million tons of CO2 emissions compared with 2005 due to the reduction in coal consumption for power supply".In 2018, Qinghai formulated and implemented the Work Plan for Qinghai Province to Build a National Clean Energy Demonstration Province (2018-2020), which proposed to foster a national clean energy base with focus on large-scale new energy development; build a strong province of clean energy supporting industries underpinned by scientific and technological innovation; create a pioneer area of green energy use with an aim of 100% clean energy use. From June 9 to 23, 2019, the province relied entirely on renewable energy supply and used electricity from hydro, solar and wind power generation"."Bring its total installed capacity of wind and solar power to over 1.2 billion kilowatts by 2030"."Increase the forest stock volume by 6 billion cubic meters from the 2005 level". 
"Increase the forest stock volume by 6 billion cubic meters from the 2005 level"</t>
  </si>
  <si>
    <t>"China’s updated NDC goals are as follows: aims to have CO2 emissions peak before 2030 and achieve carbon neutrality before 2060;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t>
  </si>
  <si>
    <t>Colombia</t>
  </si>
  <si>
    <t> 09/07/2015</t>
  </si>
  <si>
    <t>All emission sectors acknowledged by the Intergovernmental Panel on Climate Change (IPCC)</t>
  </si>
  <si>
    <t>The Republic of Colombia commits to reduce its greenhouse gas emissions by 20% with respect to the projected Business-as-Usual Scenario (BAU) by 2030.
"Subject to the provision of international support, Colombia could increase its ambition from 20% reduction with respect to BAU to 30% with respect to BAU by 2030."</t>
  </si>
  <si>
    <t> 07/12/2018</t>
  </si>
  <si>
    <t>12/29/2020</t>
  </si>
  <si>
    <t>Comoros</t>
  </si>
  <si>
    <t>09/17/2015</t>
  </si>
  <si>
    <t>“Énergie
Industries énergétiques ;
Efficience énergétique ;
Catégorie manufacturière ;
Catégorie résidentielle.
Agriculture 
Agriculture de conservation ;
Arboriculture ;
Agroforesterie.
UTCAF
Protection des forêts ;
Reboisement ;
Afforestation ;
Réduction de prélèvement de bois des forêts.
Déchets
Déchets solides ménagers”
Energy
Energy industries
Energy efficiency
Manufacturing
Residential
Agriculture
Conservation agriculture
Arboriculture
Agroforestry
LULUCF
Forest protection
Reforestation
Afforestation
Reduction of timber harvesting
Waste
Solid household waste</t>
  </si>
  <si>
    <t>Please note that the INDC was submitted only in French. WRI did its best to translate the INDC language. If any errors are identified, please contact us at ClimateWatch@WRI.org
“L’Union des Comores s’engage à réduire ses émissions de gaz à effet de serre de 84% à l’horizon 2030 par rapport aux émissions du scénario de référence de la même année. Cette réduction inclut les absorptions du secteur Utilisation des Terres, Changement d’Affectation des terres et Foresterie (UTCAF) également.”
The Union of the Comoros aims to reduce its greenhouse gas emissions by 84% by 2030 relative to reference scenario emission levels in the same year. This reduction includes sinks from the Land Use, Land-Use Change, and Forestry (LULUCF) sector.</t>
  </si>
  <si>
    <t>$ 375 million</t>
  </si>
  <si>
    <t>$ 3 million</t>
  </si>
  <si>
    <t>The Union of the Comoros aims to reduce its greenhouse gas emissions by 84% by 2030 relative to reference scenario emission levels in the same year. This reduction includes sinks from the Land Use, Land-Use Change, and Forestry (LULUCF) sector.</t>
  </si>
  <si>
    <t>Energy, industry, agriculture, LULUCF, waste"</t>
  </si>
  <si>
    <t>an increase in its net CO2 absorption sink of 47% on the horizon 2030 compared to the reference scenario".Energy Sector: total mitigation efforts in 2030 is 131 KtCO2eq. LULUCF Sector: total mitigation efforts in 2030 is 443 KtCO2eq. Waste Sector: total mitigation efforts in 2030 is 15 KtCO2eq</t>
  </si>
  <si>
    <t>92 million EUR</t>
  </si>
  <si>
    <t> EUR 399 million </t>
  </si>
  <si>
    <t>Congo</t>
  </si>
  <si>
    <t> 09/29/2015</t>
  </si>
  <si>
    <t> 54</t>
  </si>
  <si>
    <t>2015-2025-2035</t>
  </si>
  <si>
    <t>“Énergie, dont les hydrocarbures
Procédés industriels et traitement des déchets
Mines et cimenteries
Agriculture et élevage
Utilisation des terres, leur changement et la forêt (hors puits naturel-restockage des forêts)”
Energy, including hydrocarbons
Industrial processes and waste treatment
Mining and cement
Agriculture and livestock
Land use, land-use change and forestry (excluding natural sinks – restocking of forests)</t>
  </si>
  <si>
    <t>The Republic of the Congo wishes the assistance of the international community in the financing and the technical assistance necessary to achieve these objectives [adaptation actions], as part of an integrated strategy adaptation-mitigation" (13).</t>
  </si>
  <si>
    <t> 04/21/2017</t>
  </si>
  <si>
    <t>37.5 million euros </t>
  </si>
  <si>
    <t>9.39 million euros (</t>
  </si>
  <si>
    <t>39.88</t>
  </si>
  <si>
    <t>Energy, Industrial processes and product use (PIUP), Agriculture, Forests and other land uses (AFOLU), waste"</t>
  </si>
  <si>
    <t>3.795 billion US dollars,</t>
  </si>
  <si>
    <t>The level of emission reductions will be: 39.88% in the conditional scenario and 17.09% in the unconditional scenario in 2025; 32.19% in the conditional scenario and 21.46% in the unconditional scenario in 2030"</t>
  </si>
  <si>
    <t>Cook Islands</t>
  </si>
  <si>
    <t>11/20/2015</t>
  </si>
  <si>
    <t>Electricity</t>
  </si>
  <si>
    <t>Costa Rica</t>
  </si>
  <si>
    <t> 2012 </t>
  </si>
  <si>
    <t>1.19 Net Tons per Capita by 2050 </t>
  </si>
  <si>
    <t>"100% of national emissions accounted for in the National Greenhouse Gas Inventory"</t>
  </si>
  <si>
    <t>Costa Rica "is committed to a maximum of 9,374,000 tCO2eq net emissions by 2030, with proposed emissions per capita of 1.73 net tons by 2030, 1.19 Net Tons per Capita by 2050 and -0.27 Net Tons per Capita by 2100. This numbers are consistent with the necessary global path to comply with 2 degrees Celsius goal. Costa Rica's commitment includes an emissions reduction of GHG of 44%, of a Business As Usual (BAU) scenario, and a reduction of 25% of emission compared to 2012 emissions. To accomplish this goal Costa Rica would have to reduce 170,500 tons of GHG per year until the year 2030."
Costa Rica also communicates an adaptation contribution. See the full INDC for more information.</t>
  </si>
  <si>
    <t>10/13/2016</t>
  </si>
  <si>
    <t>12/28/2020</t>
  </si>
  <si>
    <t>"The sectors covered are: Energy, Industrial Processes and Product Use, Agriculture, Forestry and Other Land Uses and Waste."</t>
  </si>
  <si>
    <t>"By 2030, the application of complete silvopastoral and agroforestry systems will increase by 69,500 hectares".increase the use of wood, bamboo and other local materials in buildings to increase a minimum of 10% in 2025."In the year 2030, 100% of new buildings will be designed and built adopting low emission and resilience systems and technologies under bioclimatic parameters". "The aspirational goal of this contribution is to achieve and maintain 100% renewable electricity generation by 2030. The country will maintain the thermal capacity necessary to ensure the reliability of the system, seeking to eliminate it as soon as there are other technically and economically viable alternatives".By 2030, technology substitution and energy efficiency measures in the passenger, cargo and industrial transport sectors will reduce black carbon emissions by 20% compared to 2018 emissions". 
"By 2022, 30% of our ocean will be under some official protection scheme"."By 2030, 1,000,000 hectares of forest cover will have been intervened, including secondary growth forest, to avoid land degradation and favor biodiversity".increase in the area of ​​pastures with good management at a rate of 1 to 2% annually. "By 2030, 1,000,000 hectares of forest cover will have been intervened, including secondary growth forest, to avoid land degradation and favor biodiversity"</t>
  </si>
  <si>
    <t>Costa Rica Commits to an absolute maximum of net emissions by 2030 of 9.11 MtCO2e, and an absolute maximum budget of net-emissions during 2021-2030 of 106.53 MtCO2e.
This submission also has an adaptation component.</t>
  </si>
  <si>
    <t>Croatia</t>
  </si>
  <si>
    <t>05/24/2017</t>
  </si>
  <si>
    <t> 55</t>
  </si>
  <si>
    <t>The EU and its Member States, acting jointly, commit to reduce emissions by at least 55% by 2030 compared to 1990.</t>
  </si>
  <si>
    <t>Cuba</t>
  </si>
  <si>
    <t>Energy; Agriculture, Forestry and other Land Uses (AFOLU)</t>
  </si>
  <si>
    <t>Cuba will require external support to meet adaptation needs, which will be met by industrialized countries meeting their UNFCCC commitments (14). Funding for loss and damage (11). "The amounts promised [by the international community] are extremely limited when considering the adaptation and mitigation needs of developing countries, and, very often, rather than new resources these funds are 'recycled' or subtracted from flows of Official Development Aid that are far from the commitments made by developed countries in this area. An area of particular interest to developing countries...is access to financing and technologies in good condition...as well as coverage for losses and damages." (11).Technology in ideal condition and capacity building for acheiving adaptation goals (11, 14). Specific needs not described.</t>
  </si>
  <si>
    <t>09/17/2020</t>
  </si>
  <si>
    <t>Cuba commits to generate 24% of electricity from renewable sources and increase forest coverage to 33% by 2030, along with additional measures in the energy, transportation, and agriculture sectors. Taking into account the sector contribution to the national GHG inventory, the sectors prioritized for the reduction of emissions, at the current stage, are the energy and agriculture. In these sectors, the country's efforts are concentrated on the identification and implementation of mitigation measures. The updated first NDC also contains an adaptation part.</t>
  </si>
  <si>
    <t>Cyprus</t>
  </si>
  <si>
    <t>Czech Republic</t>
  </si>
  <si>
    <t>Côte d'Ivoire</t>
  </si>
  <si>
    <t> 28</t>
  </si>
  <si>
    <t>Start of implementation of INDC: 2016</t>
  </si>
  <si>
    <t>“Agriculture, Energie, Déchets UTCATF (Foresterie : non incluse dans les inventaires)”
Agriculture, Energy, Waste, LULUCF (Forestry: not included in the inventories)</t>
  </si>
  <si>
    <t>10/25/2016</t>
  </si>
  <si>
    <t>"Developing land for intensive crops CFAF 84.86 billion - US $ 14.3 million-, facilitate access to small irrigation equipment, FCFA 1.8 billion - US $ 3.3 million -, carry out hydro-agricultural developments CFAF 28.37 billion - US $ 47.8 million-, support the maintenance of irrigation facilities and equipment .6 billion FCFA - US $ .1 million-, rehabilitate pastoral dams and water reservoirs 3 billion FCFA. –US $ 5.5 million" (12). "SNDCV (agricultural seed development plan 12.5 billion FCFA - US $ 2.3 million, direct support for production activities CFAF 54 billion - US $ 99.9 million) SNDR (technical support for production - rice seeds, inputs and mechanization: 299 billion FCFA - US $ 53.8 million). PSDEPA (improvement of productivity and competitiveness CFAF 8.948 billion - US $ 136.4 million of which 2.18 billion - US $ 3.7 million- for the production of fodder and seeds, preservation of aquaculture genetic diversity 7.45 billion of FCFA - US $ 12.6 million)" (12). "PF (Reduction of the impact of climate change 33.64 billion FCFA.- US $ 2 milions). PNIA (support the dissemination of technological innovations CFAF .43 billion - US $ .7 million-, CES techniques 5 billion FCFA –US $ 8.4 million-)" (12-13). "SACCL (dynamic modeling of the littoral profile .184 billion FCFA - US $ .31 million-, reforestation of mangroves and other appropriate species .65 billion FCFA –US $ 1.1 million, establishment of a fund 1.95 billion FCFA –US $ 3.3 million-. SACCL considers the development against erosion in Assinie to be secondary 19.97 billion FCFA -US $ 33.6-, around the Vridi canal, the opening of the Comoé exit 22.55 billion FCFA –US $ 38 million-" (13).</t>
  </si>
  <si>
    <t>AGRICULTURE":"GHG EMISSIONS UNCONDITIONAL + CONDITIONAL MEASURES (MILLION TONNES OF CO2 EQUIVALENT)": 5.48 (-19.76%)"."Reduce the burning of residues to 15% at by 2025, and 10% by 2030 (Reference value 25%)".
"Reduce livestock emissions by 30%"."50% of rice cultivation practiced by the IRS (System of Rice Intensification)". 
"Reduce oxide emissions by 30% nitrous due to nitrogen fertilization". 75% reduction in energy intensity for lighting in households by 2030.In 2030, 20% of the population uses improved biomass stoves. 75% reduction in energy intensity for lighting in households by 2030.75% reduction in energy intensity for lighting in households by 2030.75% reduction in energy intensity for lighting in households by 2030. "Emissions of nitrogen oxides (NOx) by 42% in 2030".Thus the revised NDCs should make it possible, compared to the reference scenario, to reduce: Black carbon (BC) emissions by 58% in 2030;". "78% reduction in the energy intensity of public lighting by 2030 (corresponding to 100% bulb usage low consumption)"."71% reduction in the energy intensity of public lighting by 2030 (corresponding to 100% use of low-consumption bulbs)". "71% reduction in the energy intensity of public lighting by 2030 (corresponding to 100% use of low-consumption bulbs)". "Reduce by 50 % by 2030 the fugitive methane emissions"."Convert 1 million hectares of land to forest by 2030"."WASTE":"GHG EMISSIONS UNCONDITIONAL + CONDITIONAL MEASURES (MILLION TONNES OF CO2 EQUIVALENT)": 5.31 (-12.96%)</t>
  </si>
  <si>
    <t>Democratic Republic of the Congo</t>
  </si>
  <si>
    <t>08/18/2015</t>
  </si>
  <si>
    <t>Les secteurs concernés sont l’UTCATF, l’Agriculture et l’Energie. Les secteurs Procédés Industriels et Déchets ne sont pas pris en compte étant donné leur contribution minime au bilan des émissions des GES en RDC."
The sectors included are LULUCF, Agriculture and Energy. The Industrial Processes and Waste sectors have not been accounted for given their minimal contribution to the GHG emissions footprint of the DRC.</t>
  </si>
  <si>
    <t>12/13/2017</t>
  </si>
  <si>
    <t>USD 9.82 billion</t>
  </si>
  <si>
    <t>12/28/2021</t>
  </si>
  <si>
    <t>AFOLU, Waste, Energy, Agriculture</t>
  </si>
  <si>
    <t>USD 23.8 billion</t>
  </si>
  <si>
    <t>Denmark</t>
  </si>
  <si>
    <t> 11/01/2016</t>
  </si>
  <si>
    <t>Djibouti</t>
  </si>
  <si>
    <t>10/28/2015</t>
  </si>
  <si>
    <t> 20</t>
  </si>
  <si>
    <t>Liste des postes et sous-postes retenus :
Énergie
- Import d’électricité ;
- Consommation de combustibles fossiles des secteurs industriels, résidentiels, commerciaux, agriculture et transports.
Agriculture
- Fermentation entérique ;
- Gestion des fumiers ;
- Sols agricoles.
Déchets
- Déchets solides.
Procédés industriels
- Industrie du ciment.”
List of sectors and sub-sectors included:
Energy
- Imported electricity
- Fossil fuel combustion by the industrial, residential, commercial, agricultural and transportation sectors
Agriculture
- Enteric fermentation
- Manure management
- Agricultural soils
Waste
- Solid waste
Industrial processes
- Cement industry</t>
  </si>
  <si>
    <t>"Installation of 1,000 hectares of agroforestry system".Distribution of 5 million low energy light bulbs: Awareness raising on the use of energy saving lighting equipment (low energy bulbs) in residential areas"."Installation of 60 MW onshore wind turbines in Goubet. Those power plants are scheduled to be commissioned in 2025"."Reforestation of 1,000 hectares with the set-up of a silvopasture agricultural system"."Reforestation of 1,000 hectares with the set-up of a silvopasture agricultural system".
"Elimination of the import of 10,000 old cars producing too much pollution"</t>
  </si>
  <si>
    <t>Dominica</t>
  </si>
  <si>
    <t>39.2</t>
  </si>
  <si>
    <t>Energy industries; Transport; Manufacturing and construction; Commercial/institutional, residential, agriculture, forestry, fishing; Solid waste"</t>
  </si>
  <si>
    <t>"Energy industries; Transport; Manufacturing and construction; Commercial/institutional, residential, agriculture, forestry, fishing; Solid waste"</t>
  </si>
  <si>
    <t>US$25 million</t>
  </si>
  <si>
    <t>"Sectoral GHG emission reduction targets by 2030 have also been identified as: Agriculture: 50%". "Improve 20% productivity and Soil Organic Carbon (SOC) stocks in cropland and grasslands for the entire country by 2030, compared to the 2015 baseline". "Rehabilitate 75% of the degraded land in Saint Andrew and an additional 100 km2 in other parts of the country through the introduction of sustainable crop production by 2030 (based on results for areas with most degradation)". "Dominica has set a target of 50% increase in agroforestry farmers by 2030". "Sectoral GHG emission reduction targets by 2030 have also been identified as: Commercial/Institutional, Residential, Fishing: 8.1%". "Improve 20% productivity and Soil Organic Carbon (SOC) stocks in cropland and grasslands for the entire country by 2030, compared to the 2015 baseline"."All new buildings fossil-free and near-zero energy by 2020". Sectoral GHG emission reduction targets by 2030 have also been identified as: Commercial/Institutional, Residential, Fishing: 8.1%". 
"Commercial geothermal resources development: From 2027, renewable energy export 200Gg+ annually".
"For renewable energy, Dominica has set a target of 100% renewable energy usage by 2030, principally from the harnessing of geothermal resources, as well as synthetic fuels when it becomes feasible". Sectoral GHG emission reduction targets by 2030 have also been identified as : Industrial Processes: 8.8%". "Reduce emissions from forestry and other land use to 95% below 2010 levels by 2030, stop net deforestation by 2025". "Rehabilitate 75% of the degraded land in Saint Andrew and an additional 100 km2 in other parts of the country through the introduction of sustainable crop production by 2030 (based on results for areas with most degradation)". "Sectoral GHG emission reduction targets by 2030 have also been identified as: Solid Waste: 78.6%"</t>
  </si>
  <si>
    <t>Dominican Republic</t>
  </si>
  <si>
    <t> 08/18/2015</t>
  </si>
  <si>
    <t>Energy; Industrial processes and product use; Agriculture; Waste; Land Use, Land-Use Change and Forestry</t>
  </si>
  <si>
    <t>09/21/2017</t>
  </si>
  <si>
    <t>USD 2,792.5 million </t>
  </si>
  <si>
    <t>"The Dominican Republic has classified its sectors for mitigation according to the IPCC-2006 Guidelines: Energy, IPPU, AFOLU, and Waste."</t>
  </si>
  <si>
    <t>USD $ 8,715,787,193</t>
  </si>
  <si>
    <t>East Timor</t>
  </si>
  <si>
    <t>Agriculture, energy, land-use change and forestry, waste</t>
  </si>
  <si>
    <t>08/16/2017</t>
  </si>
  <si>
    <t>2020-2025</t>
  </si>
  <si>
    <t>Key sectors covered by this NDC:
Energy
Agriculture
Land Use, Land-Use Change and Forestry
Waste</t>
  </si>
  <si>
    <t>"At least 10% of Timor-Leste’s total combined land and the marine area will be protected from extractive activities"</t>
  </si>
  <si>
    <t>Ecuador</t>
  </si>
  <si>
    <t>Energy</t>
  </si>
  <si>
    <t>03/29/2019</t>
  </si>
  <si>
    <t>Mitigation actions in Energy, Agriculture, Industrial Processes, Waste, Land Use, Land Use Change and Forestry sectors</t>
  </si>
  <si>
    <t> 8</t>
  </si>
  <si>
    <t>Energy, Industrial Processes, Agriculture, LULUCF, Waste</t>
  </si>
  <si>
    <t>Egypt</t>
  </si>
  <si>
    <t>11/16/2015</t>
  </si>
  <si>
    <t>Energy (and sub-sectors); Agriculture; Waste; Industrial Processes; Oil and Natural Gas</t>
  </si>
  <si>
    <t>06/29/2017</t>
  </si>
  <si>
    <t>06/26/2023</t>
  </si>
  <si>
    <t>Quantitative targets for the following sectors
Electricity (Power Generation, Transmission, and Distribution)
Oil &amp; Gas
Transport
Policies and measures for the following sectors:
Industry
Buildings and Urban Cities
Tourism
Waste Management"</t>
  </si>
  <si>
    <t>Egypt commits to reducing its electricity emissions by 37%, its oil and gas emissions by 65%, and its transport emissions by 7% by 2030 relative to BAU.</t>
  </si>
  <si>
    <t>11/17/2015</t>
  </si>
  <si>
    <t>03/27/2017</t>
  </si>
  <si>
    <t>Energy, AFOLU</t>
  </si>
  <si>
    <t>Equatorial Guinea</t>
  </si>
  <si>
    <t>09/21/2015</t>
  </si>
  <si>
    <t>Energía
Transporte
Silvicultura, Agricultura y Cambio de Uso de Suelos
Industria
Residuos"</t>
  </si>
  <si>
    <t>Unofficial translation] Equatorial Guinea communicates that it will strengthen the existing initiatives in the electricity sector, taking advantage of renewable resources, with emphasis on the following: developing the hydroelectric potential of the river Wele, for the electrification of the country's mainland; reforming the Musola hydroelectric centers (0.4-0.5 MW), Riaba (3.8 MW) for the electrification of the whole island of Bioko; finding options among wind, solar and/or tidal energy sources for remote islands of the country (Annobon, Corisco and others).</t>
  </si>
  <si>
    <t>10/30/2018</t>
  </si>
  <si>
    <t>10/24/2022</t>
  </si>
  <si>
    <t>Eritrea</t>
  </si>
  <si>
    <t> 30.2</t>
  </si>
  <si>
    <t>Climate mitigation actions are proposed mainly in energy, industry, transport, forestry, agriculture (Crop and livestock) and waste sectors."</t>
  </si>
  <si>
    <t>06/19/2018</t>
  </si>
  <si>
    <t>On the whole, climate change mitigation actions focus mainly on the following five sectors: (i) energy, (ii) industry, (iii) transport, (iv) forestry, and (v) waste.</t>
  </si>
  <si>
    <t>Estonia</t>
  </si>
  <si>
    <t>Eswatini</t>
  </si>
  <si>
    <t>The development of a robust national GHG inventory covers all IPCC sectors. Whilst additional actions specific to the energy, transport and industrial processes sector are also covered by Swaziland’s INDC."</t>
  </si>
  <si>
    <t>In the energy sector, Swaziland’s contribution “is to double the share of renewable energy in the national energy mix by 2030 relative to 2010 levels.”</t>
  </si>
  <si>
    <t>Ethiopia</t>
  </si>
  <si>
    <t>Sectors included are Agriculture (livestock and soil), Forestry, Transport, Electric Power, Industry (including mining) and Buildings (including Waste and Green Cities).</t>
  </si>
  <si>
    <t>07/23/2021</t>
  </si>
  <si>
    <t> 68,8</t>
  </si>
  <si>
    <t> 54,8</t>
  </si>
  <si>
    <t>Land Use Change and Forestry (LUCF), Industry, Energy, Livestock, Managed soils, Waste</t>
  </si>
  <si>
    <t>US$ 32.4 billion</t>
  </si>
  <si>
    <t>: US$ 4.5 billion</t>
  </si>
  <si>
    <t>European Union (27)</t>
  </si>
  <si>
    <t>Fiji</t>
  </si>
  <si>
    <t>Sector specific reduction focusing on a renewable energy target for electricity generation. In addition a general emissions reduction by improvements in energy efficiency economy wide. The target is for the renewable energy share in electricity generation to approach 100% by 2030 from around 60% in 2013. In addition an indicative reduction of 10% CO2 emissions for energy efficiency improvements economy wide will be sought.
These measures will reduce CO2 emissions in the energy sector by around 30% from BAU by 2030."</t>
  </si>
  <si>
    <t>Energy; including Electricity Generation and Transmission, Demand-Side Energy Efficiency, and Transport (Land and Maritime)</t>
  </si>
  <si>
    <t>Finland</t>
  </si>
  <si>
    <t>11/14/2016</t>
  </si>
  <si>
    <t>France</t>
  </si>
  <si>
    <t>Gabon</t>
  </si>
  <si>
    <t>50 </t>
  </si>
  <si>
    <t>2010-2025</t>
  </si>
  <si>
    <t>Not Specified. (While the text references several sectors, a full list of sectors covered/excluded has not been made explicit.)
"Avec plus de 60% des émissions directes, l’occupation du sol et son corollaire, le changement d’affectation des sols, jouent un rôle crucial dans l’atteinte des ambitieux objectifs de réduction des émissions de GES que le Gabon s’est fixé."
Comprising more than 60 % of direct emissions, land use and its corollary, land use-change, play a crucial role in achieving ambitious GHG emissions reduction goals that Gabon has set.
"Le Gabon ne souhaite pas limiter sa politique Climat à la simple conservation de forêts, à l’aide de mécanismes de financement internationaux."
Gabon does not prefer to mitigate simply through the conservation of forests, with support from international financial mechanisms.
"C’est pourquoi les engagements pris par le Gabon portent exclusivement sur ses émissions de GES hors stockage de carbone par la biomasse."&gt;
This is why Gabon is focusing its commitment on GHG emissions with the exclusion of carbon stocks in forests.
"En l’absence de précisions, ces secteurs sont exclus de la présente contribution."
In the absence of precise information, [industrial processes (cement production) and agriculture] are excluded from this contribution.</t>
  </si>
  <si>
    <t>Forest and other land uses (FAT), Energy and oil/flaring, Agriculture, Waste and Industrial Processes</t>
  </si>
  <si>
    <t>"The development of solar photovoltaic, in the planning phase, must be able to be supported by international donors. The measure targets both the development of a grid-connected solar power plant with a capacity of 115 MW by 2030, as well as the installation of a hybrid mini-grid (solar/diesel) and 330,000 water heaters solar". "Emphasis is placed on the development of hydraulic energy, with an objective of 260 Mega Watts (MW) of installed capacity by 2030 and 630 MW by 2050". 
"Establishment of a sustainable forestry and timber processing industry in Gabon."Establishment of a sustainable forestry and timber processing industry in Gabon"</t>
  </si>
  <si>
    <t>Gambia</t>
  </si>
  <si>
    <t>44.4</t>
  </si>
  <si>
    <t>2021-2025</t>
  </si>
  <si>
    <t>Agriculture, Energy, Industrial Processes and Product Use (IPPU), Transport, and Waste Management.</t>
  </si>
  <si>
    <t>Gambia communicated an "Activity/Sector" based commitment, including unconditional mitigation actions in afforestation and renewable energy, and conditonal reductions in agriculture, energy, transport and waste sectors. With individual baselines developed for each sector, "excluding LULUCF and for Low Emissions Scenario, overall emissions will be reduced by about 44.4% in 2025 and 45.4% in 2030."
The INDC also includes a section on Adaptation.</t>
  </si>
  <si>
    <t>49,7 </t>
  </si>
  <si>
    <t>Agriculture, Forestry and Other Land Use (AFOLU): Agriculture, Livestock, Deforestation and Forest Degradation, Afforestation. Industrial Processes and Product Use (IPPU). Energy: Energy Industries, Transport. Waste: Solid Waste Disposal, Wastewater Treatment and Discharge."</t>
  </si>
  <si>
    <t>"The mitigation measures described in the NDC2 will allow the country to reduce its GHG emissions by 49.7 percent compared to the expected 2030 baseline. In absolute figures, the mitigation measures will reduce The Gambia’s GHG emissions by 3,290 GgCO2e."</t>
  </si>
  <si>
    <t>Georgia</t>
  </si>
  <si>
    <t>All sectors excluding LULUCF: Energy; Industrial Processes; Agriculture; and Waste. </t>
  </si>
  <si>
    <t>"Georgia plans to unconditionally reduce its GHG emissions by 15% below the Business as usual scenario (BAU) for the year 2030. This is equal to reduction in emission intensity per unit of GDP by approximately 34% from 2013 to 2030."</t>
  </si>
  <si>
    <t>35 </t>
  </si>
  <si>
    <t>"transport, buildings, energy generation and transmission, agriculture, industry, waste, and forestry"
"The emission limitations/removals from the categories of land use, land use change and forestry is excluded from the projections until the statistical data of the land category changes will be designed, except the firewood consumption"</t>
  </si>
  <si>
    <t>Georgia is fully committed[1] to an unconditional limiting target of 35 % below 1990 level of its domestic total greenhouse gas emissions by 2030[2]; Georgia is committed to a target of 50-57% of its total greenhouse gas emissions by 2030 compared to 1990, in case of international support.
[1] “The commitment does not cover Abkhazia and Tskhinvali Region of Georgia, since these are the temporarily occupied territories and the Government of Georgia has no effective control over them. "
[2] “Such reduction is approximately equal to reducing the aggregate GHG emissions by 16% per capita."
Georgia’s updated NDC includes an adaptation component.</t>
  </si>
  <si>
    <t>Germany</t>
  </si>
  <si>
    <t>Ghana</t>
  </si>
  <si>
    <t>09/23/2015</t>
  </si>
  <si>
    <t>"Priority sectors: energy including transport, industrial process and product use, AFOLU and waste."</t>
  </si>
  <si>
    <t>USD 22.6 billion i</t>
  </si>
  <si>
    <t>Sectors covered - The expected emission reduction amount constitutes 88% of emissions in the following sectors: Energy, Industrial Processes and Product Use, LULUCF and Waste consistent with 2006 IPCC guidelines. All categories and biomass pools in LULUCF are covered."</t>
  </si>
  <si>
    <t>Greece</t>
  </si>
  <si>
    <t>10/14/2016</t>
  </si>
  <si>
    <t>Grenada</t>
  </si>
  <si>
    <t>2025-2030</t>
  </si>
  <si>
    <t>Electricity; Transport; Waste; Forestry</t>
  </si>
  <si>
    <t>11/30/2020</t>
  </si>
  <si>
    <t>Energy (including domestic transport), Forestry, Waste, IPPU (Cooling sector)
"As per paragraph 31(c) of decision 1/CP.21, Grenada is committed to expanding the scope of the coverage of its NDC to all categories of anthropogenic emissions."</t>
  </si>
  <si>
    <t>Guatemala</t>
  </si>
  <si>
    <t> 11,2</t>
  </si>
  <si>
    <t>Energy; land use, land use change, and forestry; agriculture; waste; and industrial processes.</t>
  </si>
  <si>
    <t>01/25/2017</t>
  </si>
  <si>
    <t>05/23/2022</t>
  </si>
  <si>
    <t>Partial Sectors</t>
  </si>
  <si>
    <t>Guinea</t>
  </si>
  <si>
    <t>10/20/2015</t>
  </si>
  <si>
    <t>Agriculture, forestry, energy, water resources, coastal zone, livestock, fisheries and mines</t>
  </si>
  <si>
    <t>07/28/2021</t>
  </si>
  <si>
    <t>Energy, Agriculture, Waste &amp; industrial processes, LULUCF (LULUCF not included in target level)</t>
  </si>
  <si>
    <t>Guinea-Bissau</t>
  </si>
  <si>
    <t>Guinea-Bissau’s contribution to GHG emission reduction covers the forestry and energy sectors.</t>
  </si>
  <si>
    <t>10/22/2018</t>
  </si>
  <si>
    <t>USD 42 million</t>
  </si>
  <si>
    <t> 30</t>
  </si>
  <si>
    <t>Energy, AFOLU, Waste</t>
  </si>
  <si>
    <t>Guyana</t>
  </si>
  <si>
    <t> 11/23/2015</t>
  </si>
  <si>
    <t>Forestry and Energy</t>
  </si>
  <si>
    <t>05/20/2016</t>
  </si>
  <si>
    <t>Haiti</t>
  </si>
  <si>
    <t> 5</t>
  </si>
  <si>
    <t> 26</t>
  </si>
  <si>
    <t>Énergie; Agriculture, Forêt et changement d’affectation de terres (AFAT); Déchets”
Energy; Agriculture, Forestry and land-use change (AFAT); Waste</t>
  </si>
  <si>
    <t>07/31/2017</t>
  </si>
  <si>
    <t>Honduras</t>
  </si>
  <si>
    <t>2012-2030</t>
  </si>
  <si>
    <t>“Energía, Procesos Industriales, Agricultura y Residuos”
Energy, Industrial Processes, Agriculture and Waste.</t>
  </si>
  <si>
    <t>05/19/2021</t>
  </si>
  <si>
    <t>Energy, Industrial Processes and Product Use; Agriculture; Waste</t>
  </si>
  <si>
    <t>Hungary</t>
  </si>
  <si>
    <t>Iceland</t>
  </si>
  <si>
    <t>06/30/2015</t>
  </si>
  <si>
    <t>02/18/2021</t>
  </si>
  <si>
    <t>India</t>
  </si>
  <si>
    <t>Not specified; various sectors mentioned for mitigation and adaptation strategies such as energy, industry, transportation, agriculture, forestry, waste.</t>
  </si>
  <si>
    <t>08/26/2022</t>
  </si>
  <si>
    <t>Indonesia</t>
  </si>
  <si>
    <t>Energy (including Transport); Industrial Processes and Product Use; Agriculture; Land-use, Land-use Change and Forestry; Waste</t>
  </si>
  <si>
    <t>09/23/2022</t>
  </si>
  <si>
    <t>Iran</t>
  </si>
  <si>
    <t>11/21/2015</t>
  </si>
  <si>
    <t>Not Specified; multiple sectors mentioned for unconditional and conditional mitigation actions such as energy, industrial processes, agriculture, forest, waste, etc.</t>
  </si>
  <si>
    <t>Iraq</t>
  </si>
  <si>
    <t> 13</t>
  </si>
  <si>
    <t>2021-2035</t>
  </si>
  <si>
    <t>Energy, Agriculture, Industry, Waste</t>
  </si>
  <si>
    <t>10/15/2021</t>
  </si>
  <si>
    <t>The most important sectors through which Iraq will work to achieve the goals of its national contributions in reducing greenhouse gas emissions and diversifying the sources of its national economy are the oil, gas, electricity, industry, trade, agriculture, transportation, waste and housing sectors."</t>
  </si>
  <si>
    <t>Ireland</t>
  </si>
  <si>
    <t>Israel</t>
  </si>
  <si>
    <t>2005 </t>
  </si>
  <si>
    <t> 2030</t>
  </si>
  <si>
    <t>Electricity generation, other energy sources, transportation, industrial processes, buildings, waste and agriculture</t>
  </si>
  <si>
    <t>GHG target-percapita</t>
  </si>
  <si>
    <t>11/22/2016</t>
  </si>
  <si>
    <t>07/29/2021</t>
  </si>
  <si>
    <t>Energy (Fuel combustion) in: energy industries (electricity generation), manufacturing industries, construction, transport, other sectors (residential, commercial, institutional, agriculture), Industrial Processes, Agriculture, Waste and Wastewater, Land-use Change and Forestry</t>
  </si>
  <si>
    <t>Italy</t>
  </si>
  <si>
    <t>Jamaica</t>
  </si>
  <si>
    <t>11/27/2015</t>
  </si>
  <si>
    <t xml:space="preserve">2005-2030 </t>
  </si>
  <si>
    <t>Energy
The energy sector is defined in accordance with IPCC guidelines, and includes the transportation sector</t>
  </si>
  <si>
    <t>Japan</t>
  </si>
  <si>
    <t>07/17/2015</t>
  </si>
  <si>
    <t>All sectors and categories encompassing the following:
(a) Energy
-Fuel Combustion (Energy industries, Manufacturing industries and Construction, Transport, Commercial/Institutional, Residential, Agriculture/Forestry/Fishing, and Other)
-Fugitive emissions from fuels
-CO2 transport and storage
(b) Industrial processes and product use
(c) Agriculture
(d) Land Use, Land-Use Change and Forestry (LULUCF)
(e) Waste</t>
  </si>
  <si>
    <t> 10/22/2021</t>
  </si>
  <si>
    <t>2013 </t>
  </si>
  <si>
    <t>(a) Energy - Fuel Combustion (Energy industries, Manufacturing industries and Construction, Transport, Commercial/Institutional, Residential, Agriculture/Forestry/Fishing, and Other) - Fugitive emissions from fuels - CO2 transport and storage (b) Industrial processes and product use (c) Agriculture (d) Land Use, Land-Use Change and Forestry (LULUCF) (e) Waste</t>
  </si>
  <si>
    <t>02/18/2025</t>
  </si>
  <si>
    <t> 60 </t>
  </si>
  <si>
    <t>All sectors and categories encompassing the following: (a) Energy - Fuel Combustion (Energy industries, Manufacturing industries and Construction,Transport, Commercial/Institutional, Residential, Agriculture/Forestry/Fishing, and Other) - Fugitive emissions from fuels - CO2 transport and storage (b) Industrial processes and product use (c) Agriculture (d) Land Use, Land-Use Change and Forestry (LULUCF) (e) Waste"</t>
  </si>
  <si>
    <t>Jordan</t>
  </si>
  <si>
    <t>14 </t>
  </si>
  <si>
    <t>1,5 </t>
  </si>
  <si>
    <t>Energy (including transport), waste, industrial processes, agriculture and land-use, land-use change and forestry (LULUCF) and solvents
"Furthermore, GHG emissions from bunker fuels have also been estimated and reported as a memo item (these emissions are not included in the national GHGs inventory total). In addition to the sectoral approach, the reference approach has also been used for the estimation of CO2 emissions from the overall fuel consumption figures for the time frame between 2000-2010."</t>
  </si>
  <si>
    <t>Sectors: Jordan’s NDC is an economy wide covers all the sectors including; energy, Industrial processes and product use, agriculture, forestry and land-use, and waste."</t>
  </si>
  <si>
    <t>Kazakhstan</t>
  </si>
  <si>
    <t>09/28/2015</t>
  </si>
  <si>
    <t>Energy, Agriculture, Waste, Land Use, Land-Use Change and Forestry</t>
  </si>
  <si>
    <t>06/27/2023</t>
  </si>
  <si>
    <t>Kenya</t>
  </si>
  <si>
    <t> 07/24/2015</t>
  </si>
  <si>
    <t>The IPCC Guidelines for all sectors: Energy, Transportation, Industrial Processes, Agriculture, Forestry and Other Land Use (AFOLU) and waste sector.</t>
  </si>
  <si>
    <t>12/28/2016</t>
  </si>
  <si>
    <t>12/27/2020</t>
  </si>
  <si>
    <t> 32</t>
  </si>
  <si>
    <t>Kiribati</t>
  </si>
  <si>
    <t> 09/26/2015</t>
  </si>
  <si>
    <t>13.7</t>
  </si>
  <si>
    <t>Energy sector: Power and Transport
Maritime and coastal sector including mangrove, coastal vegetation and seagrass beds</t>
  </si>
  <si>
    <t>An economic evaluation of the costs of climate change related risks has been estimated to be 35% of Kiribati GDP.The estimate takes into account only the potential impacts of climate change on coastal zone (US$7-$13 million a year) and water resources (US$1-$3 million a year" (3) "The NAPA outlines 9 priority projects valued at US$11.983 million to address short-term (3 years) needs in critical sectors (water, coastal zone management, agriculture, coastal infrastructure) and to strengthen national adaptive capacity and information systems. " (18-19) "The Kiribati Joint Implementation Plan on Climate Change and Disaster Risk Management (KJIP) (214) reports that the overall gross indicative resource costs to implement the KJIP over the period 213–223 are estimated to be AUD 13,17,161 (approximately US$75 million). Of this total, it is estimated that financial cost constitutes 96% of overall costs while the in-kind contributions constitute 4%.... It is expected that a considerable portion of the necessary financing will be provided in the forms of grants from the Green Climate Funds, Global Environment Facility (GEF), Adaptation Fund, and from various bi-lateral climate change programs." (25)</t>
  </si>
  <si>
    <t>16.7</t>
  </si>
  <si>
    <t>"Energy sector (CO2, CH4, N2O): Fuels combustion including IPCC 2006 categories 1A1, 1A2, 1A3, and 1A4 Excluding international nationally determined aviation &amp; international water-borne navigation, and domestic contribution, including, as applicable, consistent with IPCC guidelines; aviation Waste sector (CH4): Solid Wase and Wastewater including IPCC 2006 categories 4A, 4B, and 4D"</t>
  </si>
  <si>
    <t>Kuwait</t>
  </si>
  <si>
    <t>11/25/2015</t>
  </si>
  <si>
    <t>Energy; Industrial Processes; Waste; Agriculture</t>
  </si>
  <si>
    <t>04/23/2018</t>
  </si>
  <si>
    <t>Energy, IPPU, Agriculture, Forestry and Other Land Use, Waste</t>
  </si>
  <si>
    <t>Kyrgyzstan</t>
  </si>
  <si>
    <t>36.61</t>
  </si>
  <si>
    <t>Accordingly, the effect of the presented mitigation measures is also calculated in CO2 equivalent and covers all sectors: Energy, Industrial processes and product use (IPPU), Agriculture, Forestry and Other Land Use (AFOLU) and Waste."</t>
  </si>
  <si>
    <t> 02/18/2020</t>
  </si>
  <si>
    <t>35.06 - 36.75</t>
  </si>
  <si>
    <t>Energy; Industrial processes, solvents and other product use; Agriculture; Land use, land use change and forestry; Waste</t>
  </si>
  <si>
    <t>USD millions 221</t>
  </si>
  <si>
    <t>"Accordingly, the effect of the presented mitigation measures is also calculated in CO2 equivalent and covers all sectors: Energy, Industrial processes and product use (IPPU), Agriculture, Forestry and Other Land Use (AFOLU) and Waste."</t>
  </si>
  <si>
    <t>Laos</t>
  </si>
  <si>
    <t>The INDC includes proposed measures and actions in the Energy, Transport, and Forestry sectors.</t>
  </si>
  <si>
    <t>Energy, industrial processes, agriculture, land-use change and forestry, and waste</t>
  </si>
  <si>
    <t>Latvia</t>
  </si>
  <si>
    <t> 03/16/2017</t>
  </si>
  <si>
    <t>Lebanon</t>
  </si>
  <si>
    <t>Energy, industrial processes and other product use, agriculture, land-use, land-use change and forestry, and waste.</t>
  </si>
  <si>
    <t>03/16/2021</t>
  </si>
  <si>
    <t>Lesotho</t>
  </si>
  <si>
    <t>"The SNC shows that three major sectors account for the emissions burden of the country. These are Energy (including transportation), Agriculture and Waste sector. However, in the SNC, emissions from forestry and other land uses, as well as in industrial processes have not been analysed since they have a relatively insignificant share in total GHG emissions. However, the in the future these will be monitored and analysed to establish the emerging trends with time."</t>
  </si>
  <si>
    <t>06/21/2018</t>
  </si>
  <si>
    <t>Liberia</t>
  </si>
  <si>
    <t>"The sectors covered are energy, transport and waste"</t>
  </si>
  <si>
    <t>08/27/2018</t>
  </si>
  <si>
    <t>Energy, Industrial Processes and Product Use, Agriculture, Waste, Land Use, Land Use Change, and Forestry</t>
  </si>
  <si>
    <t>$89,945</t>
  </si>
  <si>
    <t>Libya</t>
  </si>
  <si>
    <t>Liechtenstein</t>
  </si>
  <si>
    <t>04/23/2015</t>
  </si>
  <si>
    <t>40 </t>
  </si>
  <si>
    <t>The scope of Liechtenstein's INDCs covers all sectors relevant to the state's greenhouse gas emissions. The respective sectors and subsectors are based on the most recent IPCC Guidelines for National Greenhouse Gas Inventories: Energy, Industrial Processes, Solvent Use, Agriculture, LULUCF and Waste.</t>
  </si>
  <si>
    <t> 09/20/2017</t>
  </si>
  <si>
    <t>Lithuania</t>
  </si>
  <si>
    <t>Luxembourg</t>
  </si>
  <si>
    <t> 11/04/2016</t>
  </si>
  <si>
    <t>Madagascar</t>
  </si>
  <si>
    <t> 09/24/2015</t>
  </si>
  <si>
    <t>Energy, Agriculture, LULUCF, Waste</t>
  </si>
  <si>
    <t>01/29/2024</t>
  </si>
  <si>
    <t>Malawi</t>
  </si>
  <si>
    <t> 10/08/2015</t>
  </si>
  <si>
    <t>energy; industrial processes and product unit (IPPU); agriculture forest and other land use (AFOLU); and waste</t>
  </si>
  <si>
    <t>07/31/2021</t>
  </si>
  <si>
    <t>51 </t>
  </si>
  <si>
    <t>45 </t>
  </si>
  <si>
    <t>energy; industrial processes and product use (IPPU); waste; and agriculture, forestry and other land use (AFOLU) but excluding sources from forestry and other land use (FOLU)</t>
  </si>
  <si>
    <t>$2.419 billion</t>
  </si>
  <si>
    <t>$2.128 billion</t>
  </si>
  <si>
    <t>Malaysia</t>
  </si>
  <si>
    <t>01/18/2016</t>
  </si>
  <si>
    <t> 45</t>
  </si>
  <si>
    <t>Energy, Industrial Processes, Waste, Agriculture, Land Use, Land Use Change and Forestry (LULUCF)</t>
  </si>
  <si>
    <t>11/16/2016</t>
  </si>
  <si>
    <t>Energy, Industrial Processes and Product Use, Waste, Agriculture, LULUCF</t>
  </si>
  <si>
    <t>Maldives</t>
  </si>
  <si>
    <t>Energy
Electricity generation
Energy Efficiency – domestic consumption
Energy Efficiency – processes and product use
Transportation
Waste</t>
  </si>
  <si>
    <t>Energy; Waste</t>
  </si>
  <si>
    <t>Mali</t>
  </si>
  <si>
    <t>“Énergie, Agriculture, Forêts et changement d’utilisation des terres”
Energy, Agriculture, Forestry and Land-Use Change</t>
  </si>
  <si>
    <t>Please note that the INDC was submitted only in French. WRI did its best to translate the INDC language. If any errors are identified, please contact us at wcait@wri.org
“Les niveaux des ambitions de reduction des GES du scenario d’atténuation par rapport au scenario de base sont de 29% pour l’agriculture, 31% pour l’énergie et 21% pour les forêts et le changement d’utilisation des terres.”
The GHG mitigation scenario’s emission reduction levels, relative to the baseline scenario, are: 29% for agriculture, 31% for energy, and 21% for forests and land-use change.</t>
  </si>
  <si>
    <t>09/23/2016</t>
  </si>
  <si>
    <t> US $ 12.624 billion</t>
  </si>
  <si>
    <t>Mali commits to reduce emissions by 31% for energy, 25% for agriculture, 39% for land use and forestry, and 31% for waste sectors by 2030 compared to BAU.</t>
  </si>
  <si>
    <t> US $8 billion</t>
  </si>
  <si>
    <t>Malta</t>
  </si>
  <si>
    <t>Marshall Islands</t>
  </si>
  <si>
    <t>07/21/2015</t>
  </si>
  <si>
    <t>Energy
Electricity Generation
Transport (land and shipping)
Other (cooking and lighting)
Waste
[Note: emissions from sectors not listed are negligible]</t>
  </si>
  <si>
    <t> 6% of Gross Domestic Product</t>
  </si>
  <si>
    <t>Economy-wide</t>
  </si>
  <si>
    <t> 02/10/2025</t>
  </si>
  <si>
    <t> 2031- 2035</t>
  </si>
  <si>
    <t>"The key contributing sectors covered are:
Electricity generation
Domestic transport (land, sea and air)
Waste management
Other (cooking and lighting)"</t>
  </si>
  <si>
    <t>Mauritania</t>
  </si>
  <si>
    <t>Energie, Agriculture, Foresterie et Affectation des terres, Procédés Industriels et Utilisation des Produits ainsi que les déchets”
Energy, Agriculture, Forestry and Land Use, Industrial Processes and Product Use and Waste</t>
  </si>
  <si>
    <t> 02/27/2017</t>
  </si>
  <si>
    <t>8.3 billion USD</t>
  </si>
  <si>
    <t>9.4 billion USD </t>
  </si>
  <si>
    <t>Energy, AFOLU, IPPU, Waste</t>
  </si>
  <si>
    <t>Unconditional financial needs
Total (Unconditional): 451,83 million USD (p. 43) Agriculture: 56,4 million USD (p. 42) Livestock: 41,28 million USD (p. 42) Environment: 26,21 million USD (p. 42) Fishing: 16,45 million USD (p. 42) Water &amp; Sanitation: 17,15 million USD (p. 42) Housing, Town Planning, and Territorial Development: 65,77 million USD (p. 43) Health: 48,93 million USD (p. 43)
Conditional financial needs
Total (Conditional): 1174,63 million USD (p. 43) Agriculture: 775,48 million USD (p. 42) Livestock: 333,9 million USD (p. 42) Environment: 658,68 million USD (p. 42) Fishing: 763,88 million USD (p. 42) Water &amp; Sanitation: 45,9 million USD (p. 42) Housing, Town Planning, and Territorial Development: 347,6 million USD (p. 43) Health: 23 million USD (p. 43)</t>
  </si>
  <si>
    <t>Mauritius</t>
  </si>
  <si>
    <t>"The contribution is from the major sectors: Energy, Transportation, Industry, Agriculture, Forestry, land use and solid waste management."</t>
  </si>
  <si>
    <t>USD 6.5 billion </t>
  </si>
  <si>
    <t>USD 4.5 billion</t>
  </si>
  <si>
    <t>Mexico</t>
  </si>
  <si>
    <t>03/30/2015</t>
  </si>
  <si>
    <t> 09/21/2016</t>
  </si>
  <si>
    <t>11/17/2022</t>
  </si>
  <si>
    <t>"The NDC includes all sectors set out in the IPCC Guidelines: [1] Energy; [2] Industrial processes and product use; [3] Agriculture, forestry and other land uses; and [4] Waste."</t>
  </si>
  <si>
    <t>Micronesia</t>
  </si>
  <si>
    <t>Energy sector: electricity generation and transport subsectors</t>
  </si>
  <si>
    <t>09/15/2016</t>
  </si>
  <si>
    <t>10/17/2022</t>
  </si>
  <si>
    <t>"By 2030, reduce carbon dioxide emissions from electricity generation by more than 65% below 2000 levels"</t>
  </si>
  <si>
    <t>Moldova</t>
  </si>
  <si>
    <t>nergy; Industrial Processes and Product Use; Agriculture; Land Use, Land-Use Change and Forestry; and Waste.</t>
  </si>
  <si>
    <t> 06/20/2017</t>
  </si>
  <si>
    <t>US$ 2 million</t>
  </si>
  <si>
    <t>US$ 6 million</t>
  </si>
  <si>
    <t>Monaco</t>
  </si>
  <si>
    <t>All sectors are covered (see details regarding forests).</t>
  </si>
  <si>
    <t>10/26/2016</t>
  </si>
  <si>
    <t>Energy, Industrial Processes and Product Use, Agriculture, Forests and land use and waste.</t>
  </si>
  <si>
    <t>Mongolia</t>
  </si>
  <si>
    <t> 14</t>
  </si>
  <si>
    <t>The INDC of Mongolia includes proposed measures and additional actions for energy (including transport), industrial processes, agriculture and waste.</t>
  </si>
  <si>
    <t>3.4 billion USD</t>
  </si>
  <si>
    <t>10/13/2020</t>
  </si>
  <si>
    <t> 22,7</t>
  </si>
  <si>
    <t>Energy sector: energy production, energy consumption; Non-energy sector: agriculture, industry, waste.</t>
  </si>
  <si>
    <t>US$5.2 billion </t>
  </si>
  <si>
    <t>Montenegro</t>
  </si>
  <si>
    <t>Sectors included are:
Energy: Fuel Combustion, Fugitive emissions from fuels, and CO2 transport and storage.
Industrial processes: Mineral industry, Chemical industry, Metal industry, Non-energy products from fuels and solvent use, Electronic industry, Product uses as substitutes for ODS, Other Product Manufacture and Use, and Other.
Agriculture: Livestock, and Aggregate sources and non-CO2 emissions sources on land.
Waste</t>
  </si>
  <si>
    <t>12/21/2017</t>
  </si>
  <si>
    <t>06/15/2021</t>
  </si>
  <si>
    <t>Energy, industrial processes and product use, agriculture, waste</t>
  </si>
  <si>
    <t>2/21/2025</t>
  </si>
  <si>
    <t> 60</t>
  </si>
  <si>
    <t>"Energy Industrial processes and product use (IPPU) Agriculture Waste Land Use, Land Use Change and Forestry (LULUCF) (see Para 5e for further information on this sector)."</t>
  </si>
  <si>
    <t>Morocco</t>
  </si>
  <si>
    <t> 06/05/2015</t>
  </si>
  <si>
    <t>Energy 
Energy production 
Energy demand (households, transport, industry, services, agriculture and fisheries) 
Industrial Processes 
Cement industry 
Steel and metal manufacturing 
Other industries 
Agriculture 
Enteric fermentation and manure management 
Cropping systems 
Land-­â€use for agriculture 
Waste 
Solid waste 
Waste water 
Land-­use, land-­use change and forestry (LULUCF) 
Natural forests 
Afforestation and reforestation 
Arboriculture 
Firewood from forests 
Firewood from orchards 
Forest fires</t>
  </si>
  <si>
    <t> 09/19/2016</t>
  </si>
  <si>
    <t>USD 2.5 billion. </t>
  </si>
  <si>
    <t>06/22/2021</t>
  </si>
  <si>
    <t>All sectors, as defined by the 2006 IPCC guidelines in particular: Energy, Industrial Processes and Product Use, Agriculture, Forestry and Other Land Use (AFAT), Waste.</t>
  </si>
  <si>
    <t>Mozambique</t>
  </si>
  <si>
    <t>"The presently identified actions are related to energy (electricity production, transports and other – residential, commercial and institutional), land use, land use change and forestry (REDD+) and waste (solid waste disposal and treatment).
Despite the above identified actions, the country still has potential actions in other sectors such as industry, agriculture including in the other energy sub-sectors."</t>
  </si>
  <si>
    <t>12/27/2021</t>
  </si>
  <si>
    <t>"Agro-livestock and Sustainable Land Use, Waste Management, Energy Security and Sustainability of Industries."</t>
  </si>
  <si>
    <t>Various sectors mentioned for its mitigation actions and policies, such as forestry, energy, transport, waste, and agriculture.</t>
  </si>
  <si>
    <t> 09/19/2017</t>
  </si>
  <si>
    <t>Energy, Agriculture, FOLU, Transport</t>
  </si>
  <si>
    <t>Namibia</t>
  </si>
  <si>
    <t>"The sectors covered in this INDC are the four IPCC sectors Energy, Industrial Production and Product Use, Agriculture Forestry and Other Land Use (AFOLU) changes, and Waste."</t>
  </si>
  <si>
    <t>US$ 33 billion</t>
  </si>
  <si>
    <t>01/17/2024</t>
  </si>
  <si>
    <t>"(a) Energy - Fuel Combustion (Energy industries, Road and Rail Transport, Residential, Agriculture/Forestry/Fishing - Agriculture and Fishing) (b) IPPU (Cement production, RAC and Non-Energy Products from Fuels and Solvent Use) (c) Agriculture (Livestock and Crops) (d) Land Use, Land-Use Change and Forestry (LULUCF) (e) Waste (Solid and Wastewater)"</t>
  </si>
  <si>
    <t>Nauru</t>
  </si>
  <si>
    <t>Sectoral (energy sector) commitment focussed on a transition to renewable energy in the electricity generation sector and energy efficiency through demand side management.</t>
  </si>
  <si>
    <t>10/14/2021</t>
  </si>
  <si>
    <t>Nepal</t>
  </si>
  <si>
    <t>Various sectors mentioned for its mitigaiton and adaptation actions, such as energy, transporation, forestry, etc.</t>
  </si>
  <si>
    <t>"Nepal hereby communicates its INDC in response to the decisions of the Conference of the Parties to the UN Framework Convention on Climate Change:
Nepal has initiated the process for the formulation of National Adaptation Plans (NAPs). Therefore, Nepal's adaptation needs for future and in the context of post- 2020 will be envisioned through the NAPs.
Nepal places climate change adaptation at the centre of its development plans and policies. It aims to strengthen implementation of Environment-Friendly Local Governance (EFLG) Framework in Village Development Committees and municipalities to complement climate change adaptation, promote renewable energy technologies, and water conservation and greenery development.
Nepal will undertake scientific (bio-physical as well as social sciences) approaches to understand and deal with the impacts of climate change in mountains, hills and low- land ecosystems and landscapes. It will develop and implement adaptation strategies for climate change affected sectors.
Nepal will study and understand further loss and damage associated with climate change impacts with the support from scientific and academic communities.
Nepal plans to formulate the Low Carbon Economic Development Strategy that will envision country's future plan to promote economic development through low carbon emission with particular focus on: (i) energy; (ii) agriculture and livestock; (iii) forests; (iv) industry; (v) human settlements and wastes; (vi) transport; and vii) commercial sectors.
By 2050, Nepal will achieve 80% electrification through renewable energy sources having appropriate energy mix. Nepal will also reduce its dependency on fossil fuels by 50%.
Nepal aims to achieve the following target under the National Rural and Renewable Energy Programme (NRREP), reducing its dependency on biomass and making it more efficient.
Technologies
Targets
Mini and Micro Hydro Power
25 MW
Solar Home System
600,000 systems
Institutional solar power systems (solar PV and solar pumping systems)
1,500 systems
Improved water mill
4,000 number
Improved Cooking Stoves
475,000 stoves
Biogas
130,000 household systems, 1,000 institutional and 200 community biogas plants
Nepal will develop its electrical (hydro-powered) rail network by 2040 to support mass transportation of goods and public commuting.
Nepal will maintain 40% of the total area of the country under forest cover and forest productivity and products will be increased through sustainable management of forests. Emphasis will equally be given to enhance carbon sequestration and forest carbon storage and improve forest governance.
By 2025, Nepal will strive to decrease the rate of air pollution through proper monitoring of sources of air pollutants like wastes, old and unmaintained vehicles, and industries."</t>
  </si>
  <si>
    <t>Nepal commits targets and measures in energy, industry, agriculture, forestry and land use, and waste sectors.
Nepal also has an adaptation component in its second NDC.</t>
  </si>
  <si>
    <t>Netherlands</t>
  </si>
  <si>
    <t>07/28/2017</t>
  </si>
  <si>
    <t>New Zealand</t>
  </si>
  <si>
    <t>The target is economy-wide covering all sectors: Energy; Industrial processes and product use; Agriculture; Forestry and other land use; Waste</t>
  </si>
  <si>
    <t> 01/31/2025</t>
  </si>
  <si>
    <t>The second NDC target is economy-wide covering all sectors: energy, industrial processes and product use, agriculture, LULUCF, and waste"</t>
  </si>
  <si>
    <t>Nicaragua</t>
  </si>
  <si>
    <t>Energy and Land Use</t>
  </si>
  <si>
    <t>Energy: Promotion of the use of other renewable energy sources: By 2030, 60% of the installed capacity of the electric matrix must come from other types of renewable energy sources.
Land sector: Unconditional Contribution: Conservation in the absorption capacity of Carbon sinks with respect to the Reference Scenario by 2030. Contribution with International Financing: Increase in Carbon absorption capacity by 20% with respect to the Reference Scenario at 2030.</t>
  </si>
  <si>
    <t>12/23/2020</t>
  </si>
  <si>
    <t>49 million dollars </t>
  </si>
  <si>
    <t>Niger</t>
  </si>
  <si>
    <t>“AFOLU (Agriculture, Forestry and Other Land Uses), Energie”
AFOLU (Agriculture, Forestry and Other Land Uses), Energy</t>
  </si>
  <si>
    <t>12/13/2021</t>
  </si>
  <si>
    <t>14.60</t>
  </si>
  <si>
    <t>AFOLU, Energy</t>
  </si>
  <si>
    <t>USD 6.743 billion </t>
  </si>
  <si>
    <t>Nigeria</t>
  </si>
  <si>
    <t>11/28/2015</t>
  </si>
  <si>
    <t>"IPCC guidelines and definitions were used for all sectors"</t>
  </si>
  <si>
    <t> 05/16/2017</t>
  </si>
  <si>
    <t> 47</t>
  </si>
  <si>
    <t>Niue</t>
  </si>
  <si>
    <t>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t>
  </si>
  <si>
    <t>10/28/2016</t>
  </si>
  <si>
    <t>North Korea</t>
  </si>
  <si>
    <t> 10/07/2016</t>
  </si>
  <si>
    <t>Energy, Industrial Processes and Product Use (IPPU), Agriculture, Forestry and Other Land Use (AFOLU), Waste</t>
  </si>
  <si>
    <t>09/19/2019</t>
  </si>
  <si>
    <t> 16,4</t>
  </si>
  <si>
    <t>North Macedonia</t>
  </si>
  <si>
    <t>Energy supply, buildings and transport
"Emissions from agriculture, forestry and other land uses, as well as in industrial processes and waste have not been analyzed since they have a relatively small share in total GHG emissions."</t>
  </si>
  <si>
    <t> 01/09/2018</t>
  </si>
  <si>
    <t>04/16/2021</t>
  </si>
  <si>
    <t>The target covers emissions from the following sector: Energy, Industrial Processes and Produce Use, Agriculture, Waste"
"For the land-use, land-use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above-ground biomass, below-ground biomass, litter, dead wood and soil organic matters are included using default emission factors are used."</t>
  </si>
  <si>
    <t>Norway</t>
  </si>
  <si>
    <t>03/27/2015</t>
  </si>
  <si>
    <t> 06/20/2016</t>
  </si>
  <si>
    <t>Oman</t>
  </si>
  <si>
    <t>2020 - 2030</t>
  </si>
  <si>
    <t>Energy; lndustrial processes; Waste</t>
  </si>
  <si>
    <t>05/22/2019</t>
  </si>
  <si>
    <t>11/29/2023</t>
  </si>
  <si>
    <t>"Power; Oil &amp; Gas; Industry; Transport;" "Other sectors collectively contribute to less than 5% of emissions and include Agriculture, LULUCF, Waste, and Hydrogen."</t>
  </si>
  <si>
    <t>Pakistan</t>
  </si>
  <si>
    <t>Not Specified; Pakistan communicated that "Potential for mitigation exists in all sectors of the economy."</t>
  </si>
  <si>
    <t>Energy, Industrial Process, Agriculture, Land-Use Change and Forestry, Waste</t>
  </si>
  <si>
    <t>US$ 40 billion </t>
  </si>
  <si>
    <t>10/21/2021</t>
  </si>
  <si>
    <t>"The inventory includes four sectors: i) Energy including Transport, ii) Industrial Processes &amp; Product Use (IPPU), iii) Agriculture, Forestry &amp; other Land Use (AFOLU), and iv) Waste."</t>
  </si>
  <si>
    <t>Palau</t>
  </si>
  <si>
    <t>Energy (electricity generation), transport and waste sectors</t>
  </si>
  <si>
    <t>Palestine</t>
  </si>
  <si>
    <t>08/21/2017</t>
  </si>
  <si>
    <t>Energy; industrial processes and product use; agriculture, forestry and other land use; waste.</t>
  </si>
  <si>
    <t>$3.538 billion</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</si>
  <si>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t>
  </si>
  <si>
    <t> gap: $2,741,98,8</t>
  </si>
  <si>
    <t> $5,93,898,</t>
  </si>
  <si>
    <t>Panama</t>
  </si>
  <si>
    <t> 04/19/2016</t>
  </si>
  <si>
    <t>Energy and Land Use, Land Use Change and Forestry</t>
  </si>
  <si>
    <t>04/18/2016</t>
  </si>
  <si>
    <t> 11,5</t>
  </si>
  <si>
    <t>Energy sector (Energy Industry; Manufacturing and Construction Industries; Transport; Other Sectors); LULUCF sector</t>
  </si>
  <si>
    <t>06/13/2024</t>
  </si>
  <si>
    <t>Papua New Guinea</t>
  </si>
  <si>
    <t xml:space="preserve">No explicit coverage of sectors, although Papua New Guinea communicates sectoral actions.
Non-GHG Target
</t>
  </si>
  <si>
    <t>03/24/2016</t>
  </si>
  <si>
    <t> 12/16/2020</t>
  </si>
  <si>
    <t>This Enhanced NDC Focuses on targets and actions within these two sectors specifically the LULUCF sub-sector and Energy Industries sub-sectors, while also noting opportunities for action within the transport sub-sector and a commitment to enhance ambition in the way that PNG collects and manages data within them and across all emitting sectors to allow for further refinement and enhancement of ambition within future updates."</t>
  </si>
  <si>
    <t>Paraguay</t>
  </si>
  <si>
    <t>“Todos los sectores citados en las guías metodológicas del IPCC para la realización de los inventarios de gases de efecto invernadero”
All sectors included in the IPCC methodological guidelines for conducting greenhouse gas inventories</t>
  </si>
  <si>
    <t>07/15/2021</t>
  </si>
  <si>
    <t>Peru</t>
  </si>
  <si>
    <t>Not Specified; however, Peru communiated that:
"The categories considered in the 2010 National GHG Inventory are similar to those considered in the projections of the BaU scenario. In the BaU scenario projections, the emissions from international aviation and freight were not considered due to lack of an agreed accounting framework; nor were considered emissions from rail or sea national transport, since they have marginal percentage participation in the subcategory "Transport" and detailed information is not available. The "Solvent and product use” category has zero emissions."</t>
  </si>
  <si>
    <t>07/25/2016</t>
  </si>
  <si>
    <t>12/18/2020</t>
  </si>
  <si>
    <t>Energy; Industrial Processes and Products Use (IPPU); Waste; Land Use , Land Use Change and Forestry (LULUCF); and Agriculture</t>
  </si>
  <si>
    <t>Philippines</t>
  </si>
  <si>
    <t>Energy, Transport, Waste, Forestry and Industry.</t>
  </si>
  <si>
    <t>04/15/2021</t>
  </si>
  <si>
    <t>Agriculture, Waste, Industry, Transport, Energy</t>
  </si>
  <si>
    <t>Poland</t>
  </si>
  <si>
    <t>Portugal</t>
  </si>
  <si>
    <t>Qatar</t>
  </si>
  <si>
    <t> 11/20/2015</t>
  </si>
  <si>
    <t>Various sectors mentioned for its mitigation and adaptation actions, such as energy, transport, waste, etc.</t>
  </si>
  <si>
    <t> 06/23/2017</t>
  </si>
  <si>
    <t>08/24/2021</t>
  </si>
  <si>
    <t>Energy including transport &amp; downstream industries; building &amp; construction industry, water management, waste, and infrastructure."</t>
  </si>
  <si>
    <t>Russia</t>
  </si>
  <si>
    <t>Economy-wide, in particular, as determined by decisions of the UNFCCC Conference of the Parties on reporting: Energy; Industrial processes and products use; Agriculture; Land use, land-use change and forestry; Waste.</t>
  </si>
  <si>
    <t>11/25/2020</t>
  </si>
  <si>
    <t>Energy, industrial processes and product use, agriculture, waste, land use, land use change and forestry</t>
  </si>
  <si>
    <t>Romania</t>
  </si>
  <si>
    <t>Rwanda</t>
  </si>
  <si>
    <t>Energy, Transport , Industry, Waste and Forestry</t>
  </si>
  <si>
    <t>05/19/2020</t>
  </si>
  <si>
    <t>energy; industrial processes and product use (IPPU); waste; and agriculture , forestry and other land use (AFOLU) but excluding sources from forestry and other land use</t>
  </si>
  <si>
    <t>3.218 billion USD</t>
  </si>
  <si>
    <t>2.145 billion USD</t>
  </si>
  <si>
    <t>Saint Kitts and Nevis</t>
  </si>
  <si>
    <t>"All the economic sectors are covered and targeted into St. Kitts and Nevis’ national contributions, but with special attention to the Energy and Transport sectors, since they are the highest contributors to the GHG national matrix. The high percentage of consumption is based on fossil fuels."</t>
  </si>
  <si>
    <t>10/25/2021</t>
  </si>
  <si>
    <t> 61</t>
  </si>
  <si>
    <t> 127 million USD</t>
  </si>
  <si>
    <t>Saint Lucia</t>
  </si>
  <si>
    <t>Energy; Electricity Generation; Transport</t>
  </si>
  <si>
    <t>01/27/2021</t>
  </si>
  <si>
    <t>Energy (electricity generation and transportation)</t>
  </si>
  <si>
    <t>Sectors:
Energy: electricity generation and transportation (1A Fuel Combustion Activities), energy end-use
IPPU (2F Product Uses, Ozone Depleting Substances sub-sector)
IForestry (3B Land sub-sector)"</t>
  </si>
  <si>
    <t>Saint Vincent and the Grenadines</t>
  </si>
  <si>
    <t> 06/29/2016</t>
  </si>
  <si>
    <t>Energy (including domestic transport); Industrial processes and product use; Agriculture; Land use, land use change and forestry; Waste
"Potential emissions reductions from Industrial Processes and Product Use, Agriculture and Land Use, Land Use Change and Forestry were not considered, although these sectors are included in the baseline inventory and therefore the ‘economy-wide’ savings."</t>
  </si>
  <si>
    <t>Samoa</t>
  </si>
  <si>
    <t>11/23/2015</t>
  </si>
  <si>
    <t>2015-2025</t>
  </si>
  <si>
    <t>Energy </t>
  </si>
  <si>
    <t>San Marino</t>
  </si>
  <si>
    <t>Sectors covered: energy; industrial processes and product use; agriculture; land-use, land use change and forestry; waste.
San Marino supports the inclusion of international aviation and shipping on the basis of future internationally agreed rules applicable to all parties."</t>
  </si>
  <si>
    <t>09/26/2018</t>
  </si>
  <si>
    <t>Saudi Arabia</t>
  </si>
  <si>
    <t>Energy efficiency; Renewable energies; Carbon Capture and Utilization/Storage; Utilization of gas; Methane recovery and fare minimization.</t>
  </si>
  <si>
    <t>10/23/2021</t>
  </si>
  <si>
    <t>Senegal</t>
  </si>
  <si>
    <t>09/26/2015</t>
  </si>
  <si>
    <t> 21</t>
  </si>
  <si>
    <t>“Les activités qui génèrent des réductions d’émissions de GES seront réalisées dans les sous-secteurs suivants : (1) l’énergie, à travers la production de l’électricité, l’efficacité énergétique et le transport, (2) l’Agriculture Foresterie et Autres Affectation des Terres (AFAT) à travers la gestion des fumiers, la riziculture, les sols agricoles, les engrais organiques, les terres forestières et les plantations,(3) l’industrie et (4) la gestion des déchets par le biais des traitements des déchets solides, des eaux usées industrielles, domestiques et commerciales.”
Greenhouse gas emissions reductions activities will be carried out in the following sub-sectors: (1) Energy, through electricity production, energy efficiency and transport (2) Agriculture, Forestry and Other Land Use (AFOLU), through manure management, rice cultivation, agricultural soils, organic fertilizers, forest lands and plantations, (3) Industry and (4) Waste management, through the treatment of solid waste, industrial waste water, domestic and commercial waste.</t>
  </si>
  <si>
    <t>23.7</t>
  </si>
  <si>
    <t>US $1.4 billion </t>
  </si>
  <si>
    <t>Serbia</t>
  </si>
  <si>
    <t>In accordance with IPCC Guidelines 2006 and IPCC 2013 KP Supplement
All is implied, given that the percentage of GHG emissions covered is 100%</t>
  </si>
  <si>
    <t>07/25/2017</t>
  </si>
  <si>
    <t> 08/24/2022</t>
  </si>
  <si>
    <t>"Energy, Industrial processes and product use (IPPU), Agriculture, Waste"</t>
  </si>
  <si>
    <t>Seychelles</t>
  </si>
  <si>
    <t>21.4</t>
  </si>
  <si>
    <t>Energy
Public electricity (generation and demand side management)
Land transport
Waste
Solid waste management
[sectors not listed do not contribute significantly to emissions; opportunities for emission reductions in LULUCF are limited]</t>
  </si>
  <si>
    <t>04/29/2016</t>
  </si>
  <si>
    <t>"Energy sector (supply and end-use), refrigeration and air conditioning (RAC), transportation and waste management."</t>
  </si>
  <si>
    <t> $339 million</t>
  </si>
  <si>
    <t>Sierra Leone</t>
  </si>
  <si>
    <t>Energy, Industrial Processes, Agriculture, Forestry and other Land Use (AFOLU) and waste sector</t>
  </si>
  <si>
    <t>No GHG target, however "Sierra Leone prioritises the main sector categories in the IPCC 2006 GHG inventory guidelines (i.e., energy, industrial process and product utilization emissions (IPPU), agriculture, forestry and land use emissions (AFOLU), Waste and “others”.”</t>
  </si>
  <si>
    <t> USD 2,764 billion</t>
  </si>
  <si>
    <t>Singapore</t>
  </si>
  <si>
    <t>Energy, Industrial Processes and Product Use, Agriculture, Land Use, Land-Use Change and Forestry, Waste.</t>
  </si>
  <si>
    <t>"Energy, Industrial Processes and Product Use, Agriculture, Land Use, Land-Use Change and Forestry (LULUCF) and Waste."</t>
  </si>
  <si>
    <t>Slovakia</t>
  </si>
  <si>
    <t>Slovenia</t>
  </si>
  <si>
    <t>12/16/2016</t>
  </si>
  <si>
    <t>Solomon Islands</t>
  </si>
  <si>
    <t>Energy sector:
Power (39%)
Transport (61%)
Renewable and EE
Land use, Land Use Change and Forestry"</t>
  </si>
  <si>
    <t>07/21/2021</t>
  </si>
  <si>
    <t>"Energy: Greenhouse gas emissions are a result of combustion of imported fossil fuels in the energy sector: Electricity generation (39%) and Transport (sea and land transport – 61%))."
"Agriculture, Forestry and Land Use (AFOLU), and Coastal and Marine ecosystems."</t>
  </si>
  <si>
    <t>Somalia</t>
  </si>
  <si>
    <t>Various sectors mentioned for its mitigation and adaptation actions and policies, such as forestry, energy, transport, waste, and agriculture.</t>
  </si>
  <si>
    <t>energy, agriculture, forestry, transport and waste</t>
  </si>
  <si>
    <t>USD 5.55 billion</t>
  </si>
  <si>
    <t>South Africa</t>
  </si>
  <si>
    <t>Energy, IPPU, waste and AFOLU (agriculture, forestry and other land use). </t>
  </si>
  <si>
    <t> $US 22.8 b</t>
  </si>
  <si>
    <t>09/27/2021</t>
  </si>
  <si>
    <t>398-510 Mt CO2- eq</t>
  </si>
  <si>
    <t>USD 16 – USD 267 billion</t>
  </si>
  <si>
    <t>South Korea</t>
  </si>
  <si>
    <t> 37</t>
  </si>
  <si>
    <t>Energy, industrial processes and product use, agriculture and waste. (A decision on whether to include land use, land-use change and forestry (LULUCF) will be made at a later stage.)</t>
  </si>
  <si>
    <t> 12/23/2021</t>
  </si>
  <si>
    <t>South Sudan</t>
  </si>
  <si>
    <t>Energy generation and energy end use; Transport; and Land Use and Land Use Change</t>
  </si>
  <si>
    <t>02/25/2021</t>
  </si>
  <si>
    <t>09/21/2021</t>
  </si>
  <si>
    <t>Agriculture, livestock and fisheries, Infrastructure (construction and buildings), Forestry, Electricity, Waste, Tourism and recreation, Transport</t>
  </si>
  <si>
    <t>Spain</t>
  </si>
  <si>
    <t>Sri Lanka</t>
  </si>
  <si>
    <t>04/25/2016</t>
  </si>
  <si>
    <t>Energy, Transportation, Industry, Waste and Forestry</t>
  </si>
  <si>
    <t>Power (electricity generation), Transport, Industry, Waste, Forestry, and Agriculture</t>
  </si>
  <si>
    <t>Sudan</t>
  </si>
  <si>
    <t xml:space="preserve"> Energy (Electrical power)
2- Forestry sector
3- Waste sector
"Geographic coverage for energy and forest sectors include contributions to be implemented in most of the (18) states of Sudan, however, for the waste sector it includes only Khartoum state."</t>
  </si>
  <si>
    <t>09/22/2022</t>
  </si>
  <si>
    <t>Energy: Electricity production, Transport, Forestry: Forestland and Croplands, Waste: Municipal solid and liquid waste</t>
  </si>
  <si>
    <t>Suriname</t>
  </si>
  <si>
    <t> 10/28/2015</t>
  </si>
  <si>
    <t>Forests and Renewable Energy</t>
  </si>
  <si>
    <t> 02/13/2019</t>
  </si>
  <si>
    <t>Sweden</t>
  </si>
  <si>
    <t>Switzerland</t>
  </si>
  <si>
    <t>02/27/2015</t>
  </si>
  <si>
    <t>Energy; Industrial processes and product use; Agriculture; Land Use, Land-Use Change and Forestry; Waste
"Switzerland supports the inclusion of international aviation and shipping on the basis of future internationally agreed rules applicable to all Parties (currently not included in Switzerland's INDC)."</t>
  </si>
  <si>
    <t>12/17/2021</t>
  </si>
  <si>
    <t>01/29/2025</t>
  </si>
  <si>
    <t>energy; industrial processes and product use; agriculture; land-use, land-use change and forestry; waste and other."</t>
  </si>
  <si>
    <t>Syria</t>
  </si>
  <si>
    <t>11/30/2018</t>
  </si>
  <si>
    <t>Not Specified; energy sector for the renewable energy target, various sectors mentioned for mitigation actions, such as energy, oil and gas, water, transport, waste, etc.</t>
  </si>
  <si>
    <t>São Tomé and Principe</t>
  </si>
  <si>
    <t>The scope of the contribution covers all sectors of the national economy.</t>
  </si>
  <si>
    <t>The contribution covers all relevant national economic sectors in relation to GHG emissions even though the LULUCF sector is excluded from projection calculations since total emissions would be negative"</t>
  </si>
  <si>
    <t>Tajikistan</t>
  </si>
  <si>
    <t>"Basic spheres of economic activity, included in the INDC the Republic of Tajikistan:
- Power industry and water resources;
- Industry and construction;
- Land use, agriculture and gardening and grazing;
- Forestry and biodiversity;
- Transportation and infrastructure."</t>
  </si>
  <si>
    <t>03/22/2017</t>
  </si>
  <si>
    <t> 1 billion USD per year</t>
  </si>
  <si>
    <t>Tanzania</t>
  </si>
  <si>
    <t>Not specified; various sectors mentioned for mitigation actions such as Energy, Transport, Forestry and Waste management; and adaptation actions such as Agriculture, Livestock, Coastal and Marine Environment, Fisheries, Water resources, Forestry, Health, Tourism, Human Settlement and Energy.</t>
  </si>
  <si>
    <t> 05/18/2018</t>
  </si>
  <si>
    <t> USD 5 million per year</t>
  </si>
  <si>
    <t>Energy, IPPU, Agriculture, Waste, LULUCF. "Economy-wide reductions, prioritising actions in energy, transport, forestry, and waste management sectors."</t>
  </si>
  <si>
    <t>USD 19,232,17</t>
  </si>
  <si>
    <t>Thailand</t>
  </si>
  <si>
    <t>25 </t>
  </si>
  <si>
    <t>Economy-wide (Inclusion of land use, land-use change and forestry will be decided later)</t>
  </si>
  <si>
    <t> 11/02/2022</t>
  </si>
  <si>
    <t>2021–2030</t>
  </si>
  <si>
    <t>Economy-wide (excluding land use, land-use change, and forestry)"</t>
  </si>
  <si>
    <t>Togo</t>
  </si>
  <si>
    <t>10/21/2015</t>
  </si>
  <si>
    <t> 31,14</t>
  </si>
  <si>
    <t xml:space="preserve">Energy, agriculture, and land use, land-use change and forestry; human settlements (buildings and cities) and health; coastal erosion. </t>
  </si>
  <si>
    <t>06/28/2017</t>
  </si>
  <si>
    <t>51 billion USD</t>
  </si>
  <si>
    <t>Tonga</t>
  </si>
  <si>
    <t>Energy - Electricity (23% of 2006 emissions); Transport; Agriculture; Waste</t>
  </si>
  <si>
    <t>Trinidad and Tobago</t>
  </si>
  <si>
    <t>Transportation (for unconditional target)</t>
  </si>
  <si>
    <t>02/22/2018</t>
  </si>
  <si>
    <t>Tunisia</t>
  </si>
  <si>
    <t>09/16/2015</t>
  </si>
  <si>
    <t>41 </t>
  </si>
  <si>
    <t>13 </t>
  </si>
  <si>
    <t>Energy; industrial processes; agriculture, forestry and other land use (AFOLU); waste</t>
  </si>
  <si>
    <t>"All sectors, as defined by the 2006 IPCC guidelines: Energy, Industrial Processes and Product Use (PIUP), Agriculture, Forestry and Other Land Uses (AFAT), and Waste (Solids and Sanitation)."</t>
  </si>
  <si>
    <t>16,56 million USD</t>
  </si>
  <si>
    <t>Turkey</t>
  </si>
  <si>
    <t>Energy, industrial processes and products use, agriculture, land use land-use change and forestry, and waste sectors</t>
  </si>
  <si>
    <t> 04/13/2023</t>
  </si>
  <si>
    <t>Turkmenistan</t>
  </si>
  <si>
    <t>"INDC includes GHG Inventory results in the following sectors: Energy; Industrial processes; Agriculture; and Waste."</t>
  </si>
  <si>
    <t>Turkmenistan considering all acceptable development options and submission of INDC and taking into account national interests and capabilities of the country, as well as analyzing developed by countries INDCs choose the contribution Type 3 (GHG goal/target), which uses a target indicator attached to per unit of GDP. Specific greenhouse gas emissions per unit of GDP are the indicator that can reflect the country's potential to reduce greenhouse gas emissions."
"If financial and technological support is provided by developed countries, Turkmenistan could achieve zero growth in emissions and even reduce them up to 2030."</t>
  </si>
  <si>
    <t>10/21/2016</t>
  </si>
  <si>
    <t>01/30/2023</t>
  </si>
  <si>
    <t>Energy, Agriculture, Industrial processes and product use, Waste.</t>
  </si>
  <si>
    <t>Tuvalu</t>
  </si>
  <si>
    <t> 11/27/2015</t>
  </si>
  <si>
    <t>Energy (Electiricty generation, Transportation, Other (Cooking)
Conditional target: Agriculture; Waste</t>
  </si>
  <si>
    <t>11/16/2022</t>
  </si>
  <si>
    <t>"Electricity, land transport, maritime transport, AFOLU"</t>
  </si>
  <si>
    <t>Uganda</t>
  </si>
  <si>
    <t>The mitigation contribution covers the energy (excluding transport) and Land Use Land Use Change and Forestry sectors, in particular forestry and wetlands."
"The additional mitigation ambition also covers agriculture and transport."</t>
  </si>
  <si>
    <t>United States 476. million</t>
  </si>
  <si>
    <t> 24,7</t>
  </si>
  <si>
    <t>AFOLU, Energy, Transport, Waste, IPPU</t>
  </si>
  <si>
    <t>Ukraine</t>
  </si>
  <si>
    <t>energy; industrial processes and product use; agriculture, land use, land-use change and forestry; waste.</t>
  </si>
  <si>
    <t>"Economic sectors covered: energy; industrial processes and product use; agriculture, land use, land-use change and forestry; waste;"</t>
  </si>
  <si>
    <t>102 billion euro</t>
  </si>
  <si>
    <t>United Arab Emirates</t>
  </si>
  <si>
    <t>10/22/2015</t>
  </si>
  <si>
    <t> 19</t>
  </si>
  <si>
    <t>2019 </t>
  </si>
  <si>
    <t>2019–2030</t>
  </si>
  <si>
    <t>Energy, Industrial Processes and Product Use, Agriculture, Waste, LULUCF</t>
  </si>
  <si>
    <t>Energy, Industrial Processes and Product Use, AFOLU, Waste</t>
  </si>
  <si>
    <t>United Kingdom</t>
  </si>
  <si>
    <t>Energy (including transport); Industrial Processes and Product Use (IPPU); Agriculture; Land-use, Land-Use Change and Forestry (LULUCF); and Waste.</t>
  </si>
  <si>
    <t>01/30/2025</t>
  </si>
  <si>
    <t> 81</t>
  </si>
  <si>
    <t>United States</t>
  </si>
  <si>
    <t>03/31/2015</t>
  </si>
  <si>
    <t>The U.S. target covers all IPCC sectors.</t>
  </si>
  <si>
    <t> 09/03/2016</t>
  </si>
  <si>
    <t> 04/22/2021</t>
  </si>
  <si>
    <t>"All sectors, as defined by the IPCC 2006 guidelines"</t>
  </si>
  <si>
    <t>12/19/2024</t>
  </si>
  <si>
    <t>2035 </t>
  </si>
  <si>
    <t>Uruguay</t>
  </si>
  <si>
    <t>"The contributions target all emitting sectors as acknowledged by IPCC inventory guidelines and are nationwide."</t>
  </si>
  <si>
    <t>All emitting sectors as acknowledged by IPCC inventory guidelines are considered. "</t>
  </si>
  <si>
    <t>12/30/2022</t>
  </si>
  <si>
    <t>Uruguay commits unconditionally to not exceed 9,267 Gg of CO2 emissions, 818 Gg of methane emissions, and 32 Gg of N2O emissions by 2035, and to reduce HFC consumption by 30% relative to BAU by 2035. Uruguay also commits to reducing its emissions by a further 960 Gg of CO2, 61 Gg of methane, and 2 Gg of N2O by 2035, and reducing its HFC consumption by a further 5% by 2035, conditional upon international support.</t>
  </si>
  <si>
    <t> 12/30/2024</t>
  </si>
  <si>
    <t>Uzbekistan</t>
  </si>
  <si>
    <t>04/19/2017</t>
  </si>
  <si>
    <t>10/30/2021</t>
  </si>
  <si>
    <t>Energy; Industrial Processes and Product Use (IPPU); Agriculture; Forestry and Other Land Use (AFOLU) and Waste.</t>
  </si>
  <si>
    <t>Vanuatu</t>
  </si>
  <si>
    <t>"Mainly electricity generation sub-sector but with ancillary mitigation possible in forestry, agriculture, transport and energy efficiency sector wide."</t>
  </si>
  <si>
    <t>1. Energy
Energy Industries - Electricity
Generation/Renewable Energy
Transport
Other Sectors (Residential, Institutional and Commercial)
2. Industrial Processes and Product Use (IPPU) - Not Applicable
3. Agriculture, Forestry, and Other Land Use (AFOLU)
Livestock
Forests – Not Included
4. Waste
Solid Waste
Wastewater"</t>
  </si>
  <si>
    <t>Vatican City</t>
  </si>
  <si>
    <t>05/31/2023</t>
  </si>
  <si>
    <t>Sectors involved: energy, and in particular district heating, and transportation, industrial processes and product use, land use, land use change and forestry."</t>
  </si>
  <si>
    <t>Venezuela</t>
  </si>
  <si>
    <t>12/15/2015</t>
  </si>
  <si>
    <t>Emisiones de dióxido de carbono derivadas de la quema de combustibles fósiles y de la fabricación de cemento. Incluyen el dióxido de carbono producido por el consumo de combustibles sólidos, líquidos, gases combustibles y la quema de gas."
Emissions of carbon dioxide from the burning of fossil fuels and cement manufacturing. They include carbon dioxide produced by the consumption of solid, liquid, gas fuels and gas flaring.
Various sectors mentioned for mitigation and adaptation actions, including industry, electricity, building, transportation, agriculture, water, forestry, waste, etc.</t>
  </si>
  <si>
    <t>02/27/2018</t>
  </si>
  <si>
    <t>Energy, Industry, Forests, Waste</t>
  </si>
  <si>
    <t>Vietnam</t>
  </si>
  <si>
    <t>The entire economy, including the following sectors:
1. Energy
a. Fuel combustion:
- Energy industries;
- Manufacturing industries and construction;
- Transport;
- Others: residential, agriculture and commercial services.
b. Fugitive emissions:
- Coal mining;
- Natural gas and oil.
2. Agriculture
- Enteric fermentation;
- Manure management;
- Rice cultivation;
- Agriculture soils;
- Prescribed burning of savannas;
- Field burning of agricultural residues.
3. Land Use, Land Use Change and Forestry (LULUCF)
- Forest land;
- Cropland;
- Grassland;
- Wetlands;
- Settlements;
- Other land.
4. Waste
- Solid waste landfills;
- Industrial wastewater;
- Domestic wastewater;
- Human waste;
- Waste incineration.</t>
  </si>
  <si>
    <t>1. Energy: (Emissions from fuel combustion) Energy industry; Industrial production and construction; Transportation; Others: household, agriculture, services and trade.
2. Agriculture Rumen digestion; Organic fertilizer management; Rice cultivation.
3. LULUCF Forest land; Cultivation land; Grassland; Wetland; Others.
4. Waste Landfills; Material production from solid waste. Domestic and industrial wastewater treatment
5. Industrial processes (IP) Construction materials; Chemical industry; HFCs consumption."</t>
  </si>
  <si>
    <t>Yemen</t>
  </si>
  <si>
    <t>2016 - 2030</t>
  </si>
  <si>
    <t>Energy: Energy production and Energy demand (households, transport, industry, services, agriculture and fisheries)
Agriculture: Cropping systems, Land-use for agriculture and forestry and Solar PV water pumping systems for irrigation
Wastes: Solid wastes and Wastewater</t>
  </si>
  <si>
    <t>Zambia</t>
  </si>
  <si>
    <t>2015 - 2030</t>
  </si>
  <si>
    <t>"Energy ( i.e. manufacturing, commercial, residential, agriculture, transport, mining and electricity)
Agriculture ( i.e. Enteric Fermentation and Manure Management, Rice Methane, Agriculture Soils, Burning of Savanna and Agriculture waste)
Waste (i.e. Solid waste disposal, Solid waste open burning, Domestic wastewater handling, Industrial wastewater handling and Human sewage)
Land-use, Land-Use Change and Forestry (LULUCF): Sources- (i.e. Deforestation and forest degradation through land clearing for agriculture, uncontrolled fires, infrastructure, timber harvesting, and charcoal production. Sinks-Regeneration from abandoned land from disturbed forests (firewood collection, charcoal production and timber harvesting), agriculture farrow and plantations, afforestation and reforestation)."</t>
  </si>
  <si>
    <t>Energy, industrial processes and product use, Agriculture Forestry and Other Land Use (AFOLU), and waste</t>
  </si>
  <si>
    <t>Zimbabwe</t>
  </si>
  <si>
    <t>USD 1.2 billion</t>
  </si>
  <si>
    <t>09/24/2021</t>
  </si>
  <si>
    <t>"Sectors covered: Energy, Waste, Industrial Processes and Product Use (IPPU) and Agriculture, Forestry and Land Use (AFOLU)."</t>
  </si>
  <si>
    <t>2025-2035</t>
  </si>
  <si>
    <t>"Energy, IPPU, LULUCF and Waste"; "In addition to the NDC2.0 sector coverage, included Agriculture with two measures under livestock sub-category"</t>
  </si>
  <si>
    <t>INDC</t>
  </si>
  <si>
    <t>First_NDC</t>
  </si>
  <si>
    <t>Second_NDC</t>
  </si>
  <si>
    <t>Third_NDC</t>
  </si>
  <si>
    <t>GHG_target_type</t>
  </si>
  <si>
    <t>El Salvador</t>
  </si>
  <si>
    <t>Myanmar</t>
  </si>
  <si>
    <t> 09/29/2025</t>
  </si>
  <si>
    <t>08/30/2025</t>
  </si>
  <si>
    <t>10/28/2025</t>
  </si>
  <si>
    <t>12/31/2025</t>
  </si>
  <si>
    <t>09/23/2025</t>
  </si>
  <si>
    <t>12/19/2025</t>
  </si>
  <si>
    <t>03/30/2026</t>
  </si>
  <si>
    <t>11/14/2025</t>
  </si>
  <si>
    <t> 02/18/2026</t>
  </si>
  <si>
    <t>09/26/2025</t>
  </si>
  <si>
    <t>12/24/2025</t>
  </si>
  <si>
    <t>03/25/2026</t>
  </si>
  <si>
    <t>09/22/2025</t>
  </si>
  <si>
    <t> 10/27/2025</t>
  </si>
  <si>
    <t>11/13/2025</t>
  </si>
  <si>
    <t>11/26/2025</t>
  </si>
  <si>
    <t>04/30/2025</t>
  </si>
  <si>
    <t> 09/10/2025</t>
  </si>
  <si>
    <t>10/24/2025</t>
  </si>
  <si>
    <t>09/29/2025</t>
  </si>
  <si>
    <t>11/17/2025</t>
  </si>
  <si>
    <t> 09/24/2025</t>
  </si>
  <si>
    <t> 4,5</t>
  </si>
  <si>
    <t>09/30/2025</t>
  </si>
  <si>
    <t> 05/19/2025</t>
  </si>
  <si>
    <t> 06/26/2025</t>
  </si>
  <si>
    <t> 11/06/2025</t>
  </si>
  <si>
    <t> 09/30/2025</t>
  </si>
  <si>
    <t>01/14/2026</t>
  </si>
  <si>
    <t> 09/12/2025</t>
  </si>
  <si>
    <t> 08/13/2025</t>
  </si>
  <si>
    <t>12/26/2025</t>
  </si>
  <si>
    <t> 20,09</t>
  </si>
  <si>
    <t> 09/23/2025</t>
  </si>
  <si>
    <t>01/25/2026</t>
  </si>
  <si>
    <t>09/24/2025</t>
  </si>
  <si>
    <t>09/16/2025</t>
  </si>
  <si>
    <t>Cap</t>
  </si>
  <si>
    <t>yes</t>
  </si>
  <si>
    <t>no</t>
  </si>
  <si>
    <t>Conditionality</t>
  </si>
  <si>
    <t>Conditional only</t>
  </si>
  <si>
    <t xml:space="preserve">Both </t>
  </si>
  <si>
    <t>Unconditional only</t>
  </si>
  <si>
    <t>5 </t>
  </si>
  <si>
    <t>Target_Type</t>
  </si>
  <si>
    <t>Status</t>
  </si>
  <si>
    <t>No Document Submitted</t>
  </si>
  <si>
    <t>Conflict status</t>
  </si>
  <si>
    <t>Sectoral_Policy</t>
  </si>
  <si>
    <t>No GHG target</t>
  </si>
  <si>
    <t>Not ratified</t>
  </si>
  <si>
    <t>No Quantified target</t>
  </si>
  <si>
    <t>Target percentage</t>
  </si>
  <si>
    <t>cls</t>
  </si>
  <si>
    <t>main_target_rule</t>
  </si>
  <si>
    <t>UNCONDITIONAL_ONLY</t>
  </si>
  <si>
    <t> 2021-2030</t>
  </si>
  <si>
    <t>Energy (excluding international transport), Industrial processes and product use (excluding F-gases), Agriculture, Forest and Other Land Use (FOLU), Waste</t>
  </si>
  <si>
    <t>"Energy (including Electricity, Transport, and Buildings), AFOLU, Waste"</t>
  </si>
  <si>
    <t xml:space="preserve">Energie (Production, Transports, Bâtiment, Industrie); Procédés industriels; Agriculture, Forêts et Utilisation des Terres; Déchets. </t>
  </si>
  <si>
    <t>MAX_WITH_SUPPORT</t>
  </si>
  <si>
    <t>CONDITIONAL_ONLY</t>
  </si>
  <si>
    <t>conditionality_structure</t>
  </si>
  <si>
    <t>DOMESTIC_PLUS_EXTERNAL_SUPPORT</t>
  </si>
  <si>
    <t>SUM_UNCOND_AND_ADDITIONAL_COND</t>
  </si>
  <si>
    <t>UNCONDITIONAL_PLUS_ADDITIONAL_CONDITIONAL</t>
  </si>
  <si>
    <t>"Based on the last GHG inventory, the selected sectors are defined according to the revised IPCC Guidelines 1996 and cover the entire territory."
Focused sectors: Power generation from renewable sources; and Reforestation.</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</si>
  <si>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t>
  </si>
  <si>
    <t>FIXED_LEVEL</t>
  </si>
  <si>
    <t>TOTAL_WITH_COMPONENTS</t>
  </si>
  <si>
    <t>2016– 2030</t>
  </si>
  <si>
    <t>All sectors</t>
  </si>
  <si>
    <t>Energy, industrial processes, agriculture, cattle, land use change, silviculture and waste</t>
  </si>
  <si>
    <t>Energy (Energy Production and Use), Industrial Processes and Product Use (Mineral Industry and F-gases), Agriculture (Enteric Fermentation, Direct and Indirect N2O Emissions from managed soils), Waste (Solid Waste management, Wastewater), Forestry (afforestation, forest protection) and Other Land Use."</t>
  </si>
  <si>
    <t xml:space="preserve"> Economy-wide: Energy; Industrial processes and product use; Agriculture; Land-use, land-use change and forestry; Waste</t>
  </si>
  <si>
    <t xml:space="preserve">Not specified </t>
  </si>
  <si>
    <t>Economy-wide reduction :Energy sector and forestry</t>
  </si>
  <si>
    <t>Economy-wide :Energy (including domestic transport) Industrial Process and Product Use
Waste Agriculture, Land Use, Land Use Change and Forestry, "Potential emissions reductions from Industrial Process and Product Use, Agriculture and Land Use, Land Use Change and Forestry were not considered, although these sectors are included in the baseline inventory and therefore the ‘economy wide’ savings."</t>
  </si>
  <si>
    <t>DECLARED_TOTAL</t>
  </si>
  <si>
    <t xml:space="preserve"> DECLARED_TOTAL</t>
  </si>
  <si>
    <t>2017-2030</t>
  </si>
  <si>
    <t>2018-2030</t>
  </si>
  <si>
    <t>2016-2035</t>
  </si>
  <si>
    <t>Partially conditional NDC (unspecified mix of domestic/international resources)</t>
  </si>
  <si>
    <t xml:space="preserve"> MAX_WITH_SUPPORT</t>
  </si>
  <si>
    <t>AX_WITH_SUPPORT</t>
  </si>
  <si>
    <t xml:space="preserve"> CONDITIONAL_ONLY</t>
  </si>
  <si>
    <t>Agriculture, energy, industrial processes and product use, LULUCF, and waste"</t>
  </si>
  <si>
    <t>2024-2030</t>
  </si>
  <si>
    <t>2021-2040</t>
  </si>
  <si>
    <t>2017-2040</t>
  </si>
  <si>
    <t>PARTIALLY_CONDITIONAL_UNSPECIFIED_SPLIT</t>
  </si>
  <si>
    <t>2015-2035</t>
  </si>
  <si>
    <t xml:space="preserve"> 2016-2030</t>
  </si>
  <si>
    <t>Partially conditional NDC (unspecified mix of domestic/international resources)</t>
  </si>
  <si>
    <t xml:space="preserve"> UNCONDITIONAL_PLUS_ADDITIONAL_CONDITIONAL</t>
  </si>
  <si>
    <t> 11/02/2016</t>
  </si>
  <si>
    <t xml:space="preserve"> AGGREGATED_SECTORAL_LOW_EMISSIONS_SCENARIO</t>
  </si>
  <si>
    <t>MIXED_SECTORAL_CONDITIONALITY</t>
  </si>
  <si>
    <t xml:space="preserve"> UNCONDITIONAL_PLUS_CONDITIONAL_RANGE</t>
  </si>
  <si>
    <t>MIXED_CONDITIONALITY_UNSPECIFIED_SPLIT</t>
  </si>
  <si>
    <t>UNCONDITIONAL_PLUS_CONDITIONAL_TOTAL</t>
  </si>
  <si>
    <t>DECLARED_INTENSITY_TARGET</t>
  </si>
  <si>
    <t>UNCONDITIONAL_DECLARED_TARGET</t>
  </si>
  <si>
    <t xml:space="preserve"> UNCONDITIONAL_ONLY</t>
  </si>
  <si>
    <t xml:space="preserve"> UNCONDITIONAL_PLUS_CONDITIONAL_TOTAL</t>
  </si>
  <si>
    <t> 07/01/2020</t>
  </si>
  <si>
    <t xml:space="preserve">2017-2030 </t>
  </si>
  <si>
    <t>Jamaica’s target to reduce emissions relative to business-as-usual by 2030, covers the energy sector (supply and end-use) and land-use change and forestry."</t>
  </si>
  <si>
    <t>UNCONDITIONAL_PLUS_CONDITIONAL_ADDITIONAL</t>
  </si>
  <si>
    <t xml:space="preserve"> UNCONDITIONAL_PLUS_CONDITIONAL_ADDITIONAL</t>
  </si>
  <si>
    <t>DECLARED_OVERALL_TARGET</t>
  </si>
  <si>
    <t>PARTIALLY_CONDITIONAL_UNSPECIFIED_MIX</t>
  </si>
  <si>
    <t>CONDITIONAL_AND_UNCONDITIONAL_UNSPECIFIED_SPLIT</t>
  </si>
  <si>
    <t>PARTIALLY_CONDITIONAL_UNSPECIFIED</t>
  </si>
  <si>
    <t xml:space="preserve"> SINGLE_TARGET_PARTIALLY_CONDITIONAL</t>
  </si>
  <si>
    <t>CONDITIONAL_TOTAL</t>
  </si>
  <si>
    <t>UNCONDITIONAL_PLUS_CONDITIONAL</t>
  </si>
  <si>
    <t>2020 - 2040</t>
  </si>
  <si>
    <t>MEAN_SECTORAL_TARGETS</t>
  </si>
  <si>
    <t>10/11/0021</t>
  </si>
  <si>
    <t xml:space="preserve"> MEAN_SECTORAL_TARGETS</t>
  </si>
  <si>
    <t>SINGLE_TARGET_PARTIALLY_CONDITIONAL</t>
  </si>
  <si>
    <t>PARTIALLY_CONDITIONAL</t>
  </si>
  <si>
    <t xml:space="preserve"> UNCONDITIONAL_PLUS_CONDITIONAL</t>
  </si>
  <si>
    <t>SECTOR_SPECIFIC</t>
  </si>
  <si>
    <t>MAIN_STATED_TARGET</t>
  </si>
  <si>
    <t>22.0</t>
  </si>
  <si>
    <t xml:space="preserve"> MAIN_STATED_TARGET</t>
  </si>
  <si>
    <t> 2022-2030</t>
  </si>
  <si>
    <t>2014-2030</t>
  </si>
  <si>
    <t>CONDITIONAL_MAXIMUM</t>
  </si>
  <si>
    <t>CONDITIONAL_AND_UNCONDITIONAL</t>
  </si>
  <si>
    <t xml:space="preserve"> PARTIALLY_CONDITIONAL_UNSPECIFIED</t>
  </si>
  <si>
    <t>EXPLICIT_CO2_REDUCTION_TARGET</t>
  </si>
  <si>
    <t>CONDITIONAL_AND_UNCONDITIONAL_UNSPECIFIED</t>
  </si>
  <si>
    <t>EMISSIONS_INTENSITY_REDUCTION</t>
  </si>
  <si>
    <t xml:space="preserve"> FIXED_EMISSIONS_LEVEL</t>
  </si>
  <si>
    <t>MIDPOINT_OF_TARGET_RANGE</t>
  </si>
  <si>
    <t>AVERAGE_SECTORAL_TARGETS</t>
  </si>
  <si>
    <t>CONDITIONAL_AND_UNCONDITIONAL_TOTAL</t>
  </si>
  <si>
    <t> 11/06/2016</t>
  </si>
  <si>
    <t>SUM_SECTORAL_ABSOLUTE_REDUCTIONS</t>
  </si>
  <si>
    <t>10/06/0017</t>
  </si>
  <si>
    <t>CONDITIONAL_TOTAL_MIDPOINT</t>
  </si>
  <si>
    <t>CONDITIONAL_ONLY_MIDPOINT</t>
  </si>
  <si>
    <t>SINGLE_TARGET</t>
  </si>
  <si>
    <t>PARTIALLY_CONDITIONAL_TOTAL</t>
  </si>
  <si>
    <t>SECTORAL_TARGET</t>
  </si>
  <si>
    <t>AVERAGE_RANGE</t>
  </si>
  <si>
    <t>Partially conditional, mix unspecified</t>
  </si>
  <si>
    <t>DIRECT_SINGLE_TARGET</t>
  </si>
  <si>
    <t> 11/09/2021</t>
  </si>
  <si>
    <t>CONDITIONAL_MAX_TARGET</t>
  </si>
  <si>
    <t>conditionality</t>
  </si>
  <si>
    <t>ABSOLUTE_ANNUAL_ABATEMENT_BAU</t>
  </si>
  <si>
    <t>FIXED_LEVEL_ONGOING_CARBON_NEUTRALITY</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</si>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</sst>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vertAlign val="subscript"/>
      <sz val="11"/>
      <color rgb="FF0A1941"/>
      <name val="Arial"/>
      <family val="2"/>
    </font>
    <font>
      <sz val="14"/>
      <color rgb="FF0A1941"/>
      <name val="Arial"/>
      <family val="2"/>
    </font>
    <font>
      <sz val="14"/>
      <color rgb="FF001D35"/>
      <name val="Arial"/>
      <family val="2"/>
    </font>
    <font>
      <sz val="11"/>
      <color rgb="FF001D35"/>
      <name val="Arial"/>
      <family val="2"/>
    </font>
    <font>
      <sz val="12"/>
      <color rgb="FF0A1941"/>
      <name val="Arial"/>
      <family val="2"/>
    </font>
    <font>
      <sz val="7"/>
      <color rgb="FF0A1941"/>
      <name val="Arial"/>
      <family val="2"/>
    </font>
    <font>
      <sz val="13.5"/>
      <color rgb="FF0A1941"/>
      <name val="Arial"/>
      <family val="2"/>
    </font>
    <font>
      <sz val="8"/>
      <color rgb="FF27251E"/>
      <name val="Georgia"/>
      <family val="1"/>
    </font>
    <font>
      <sz val="8"/>
      <color rgb="FF27251E"/>
      <name val="Georgia"/>
      <family val="1"/>
    </font>
    <font>
      <sz val="7"/>
      <color rgb="FF4D4D4C"/>
      <name val="Courier New"/>
      <family val="3"/>
    </font>
    <font>
      <sz val="7"/>
      <color rgb="FF27251E"/>
      <name val="Segoe UI"/>
      <family val="2"/>
    </font>
    <font>
      <b/>
      <sz val="11"/>
      <color theme="1"/>
      <name val="Aptos Narrow"/>
      <family val="2"/>
      <scheme val="minor"/>
    </font>
    <font>
      <sz val="10"/>
      <color theme="1"/>
      <name val="Arial Unicode MS"/>
      <family val="2"/>
    </font>
    <font>
      <sz val="11"/>
      <color rgb="FFFF0000"/>
      <name val="Aptos Narrow"/>
      <family val="2"/>
      <scheme val="minor"/>
    </font>
    <font>
      <sz val="13.5"/>
      <color rgb="FFFF0000"/>
      <name val="Arial"/>
      <family val="2"/>
    </font>
    <font>
      <sz val="7"/>
      <color rgb="FFFF0000"/>
      <name val="Arial"/>
      <family val="2"/>
    </font>
  </fonts>
  <fills count="9">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5"/>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65">
    <xf numFmtId="0" fontId="0" fillId="0" borderId="0" xfId="0"/>
    <xf numFmtId="0" fontId="0" fillId="2" borderId="0" xfId="0" applyFill="1"/>
    <xf numFmtId="0" fontId="0" fillId="3" borderId="0" xfId="0" applyFill="1"/>
    <xf numFmtId="0" fontId="0" fillId="4" borderId="0" xfId="0" applyFill="1"/>
    <xf numFmtId="0" fontId="2" fillId="3" borderId="0" xfId="0" applyFont="1" applyFill="1"/>
    <xf numFmtId="0" fontId="3" fillId="3" borderId="0" xfId="0" applyFont="1" applyFill="1"/>
    <xf numFmtId="3" fontId="8" fillId="3" borderId="0" xfId="0" applyNumberFormat="1" applyFont="1" applyFill="1"/>
    <xf numFmtId="0" fontId="10" fillId="3" borderId="0" xfId="0" applyFont="1" applyFill="1"/>
    <xf numFmtId="0" fontId="4" fillId="3" borderId="0" xfId="0" applyFont="1" applyFill="1"/>
    <xf numFmtId="0" fontId="11" fillId="3" borderId="0" xfId="0" applyFont="1" applyFill="1"/>
    <xf numFmtId="0" fontId="0" fillId="5" borderId="0" xfId="0" applyFill="1"/>
    <xf numFmtId="3" fontId="8" fillId="5" borderId="0" xfId="0" applyNumberFormat="1" applyFont="1" applyFill="1"/>
    <xf numFmtId="0" fontId="2" fillId="5" borderId="0" xfId="0" applyFont="1" applyFill="1"/>
    <xf numFmtId="0" fontId="9" fillId="5" borderId="0" xfId="0" applyFont="1" applyFill="1"/>
    <xf numFmtId="0" fontId="7" fillId="5" borderId="0" xfId="0" applyFont="1" applyFill="1" applyAlignment="1">
      <alignment vertical="center" wrapText="1"/>
    </xf>
    <xf numFmtId="0" fontId="6" fillId="2" borderId="0" xfId="0" applyFont="1" applyFill="1"/>
    <xf numFmtId="0" fontId="5" fillId="2" borderId="0" xfId="0" applyFont="1" applyFill="1"/>
    <xf numFmtId="0" fontId="2" fillId="0" borderId="0" xfId="0" applyFont="1"/>
    <xf numFmtId="0" fontId="7" fillId="2" borderId="0" xfId="0" applyFont="1" applyFill="1" applyAlignment="1">
      <alignment vertical="center" wrapText="1"/>
    </xf>
    <xf numFmtId="14" fontId="7" fillId="2" borderId="0" xfId="0" applyNumberFormat="1" applyFont="1" applyFill="1" applyAlignment="1">
      <alignment vertical="center" wrapText="1"/>
    </xf>
    <xf numFmtId="14" fontId="9" fillId="2" borderId="0" xfId="0" applyNumberFormat="1" applyFont="1" applyFill="1"/>
    <xf numFmtId="0" fontId="6" fillId="0" borderId="0" xfId="0" applyFont="1"/>
    <xf numFmtId="0" fontId="6" fillId="5" borderId="0" xfId="0" applyFont="1" applyFill="1"/>
    <xf numFmtId="14" fontId="7" fillId="5" borderId="0" xfId="0" applyNumberFormat="1" applyFont="1" applyFill="1" applyAlignment="1">
      <alignment vertical="center" wrapText="1"/>
    </xf>
    <xf numFmtId="14" fontId="9" fillId="5" borderId="0" xfId="0" applyNumberFormat="1" applyFont="1" applyFill="1"/>
    <xf numFmtId="0" fontId="6" fillId="3" borderId="0" xfId="0" applyFont="1" applyFill="1"/>
    <xf numFmtId="0" fontId="0" fillId="6" borderId="0" xfId="0" applyFill="1"/>
    <xf numFmtId="0" fontId="10" fillId="6" borderId="0" xfId="0" applyFont="1" applyFill="1"/>
    <xf numFmtId="0" fontId="11" fillId="6" borderId="0" xfId="0" applyFont="1" applyFill="1"/>
    <xf numFmtId="0" fontId="2" fillId="6" borderId="0" xfId="0" applyFont="1" applyFill="1"/>
    <xf numFmtId="0" fontId="7" fillId="6" borderId="0" xfId="0" applyFont="1" applyFill="1" applyAlignment="1">
      <alignment vertical="center" wrapText="1"/>
    </xf>
    <xf numFmtId="14" fontId="7" fillId="6" borderId="0" xfId="0" applyNumberFormat="1" applyFont="1" applyFill="1" applyAlignment="1">
      <alignment vertical="center" wrapText="1"/>
    </xf>
    <xf numFmtId="14" fontId="9" fillId="6" borderId="0" xfId="0" applyNumberFormat="1" applyFont="1" applyFill="1"/>
    <xf numFmtId="14" fontId="7" fillId="5" borderId="0" xfId="0" applyNumberFormat="1" applyFont="1" applyFill="1" applyAlignment="1">
      <alignment horizontal="left" vertical="center" wrapText="1"/>
    </xf>
    <xf numFmtId="0" fontId="0" fillId="5" borderId="0" xfId="0" applyFill="1" applyAlignment="1">
      <alignment horizontal="right"/>
    </xf>
    <xf numFmtId="14" fontId="7" fillId="0" borderId="0" xfId="0" applyNumberFormat="1" applyFont="1" applyAlignment="1">
      <alignment horizontal="left" vertical="center" wrapText="1"/>
    </xf>
    <xf numFmtId="0" fontId="0" fillId="5" borderId="0" xfId="0" applyFill="1" applyAlignment="1">
      <alignment horizontal="left"/>
    </xf>
    <xf numFmtId="0" fontId="3" fillId="5" borderId="0" xfId="0" applyFont="1" applyFill="1"/>
    <xf numFmtId="0" fontId="10" fillId="5" borderId="0" xfId="0" applyFont="1" applyFill="1"/>
    <xf numFmtId="0" fontId="4" fillId="5" borderId="0" xfId="0" applyFont="1" applyFill="1"/>
    <xf numFmtId="0" fontId="12" fillId="0" borderId="0" xfId="0" applyFont="1" applyAlignment="1">
      <alignment vertical="center" wrapText="1"/>
    </xf>
    <xf numFmtId="0" fontId="12" fillId="5" borderId="0" xfId="0" applyFont="1" applyFill="1" applyAlignment="1">
      <alignment vertical="center" wrapText="1"/>
    </xf>
    <xf numFmtId="0" fontId="0" fillId="5" borderId="0" xfId="0" applyFill="1" applyAlignment="1">
      <alignment vertical="center"/>
    </xf>
    <xf numFmtId="0" fontId="12" fillId="0" borderId="0" xfId="0" applyFont="1" applyAlignment="1">
      <alignment vertical="center"/>
    </xf>
    <xf numFmtId="0" fontId="12" fillId="5" borderId="0" xfId="0" applyFont="1" applyFill="1" applyAlignment="1">
      <alignment vertical="center"/>
    </xf>
    <xf numFmtId="0" fontId="13" fillId="0" borderId="0" xfId="0" applyFont="1" applyAlignment="1">
      <alignment vertical="center" wrapText="1"/>
    </xf>
    <xf numFmtId="0" fontId="14" fillId="5" borderId="0" xfId="0" applyFont="1" applyFill="1"/>
    <xf numFmtId="14" fontId="15" fillId="5" borderId="0" xfId="0" applyNumberFormat="1" applyFont="1" applyFill="1" applyAlignment="1">
      <alignment horizontal="left" vertical="center" wrapText="1"/>
    </xf>
    <xf numFmtId="0" fontId="16" fillId="5" borderId="0" xfId="0" applyFont="1" applyFill="1"/>
    <xf numFmtId="0" fontId="15" fillId="5" borderId="0" xfId="0" applyFont="1" applyFill="1" applyAlignment="1">
      <alignment vertical="center" wrapText="1"/>
    </xf>
    <xf numFmtId="0" fontId="14" fillId="5" borderId="0" xfId="0" applyFont="1" applyFill="1" applyAlignment="1">
      <alignment horizontal="left"/>
    </xf>
    <xf numFmtId="0" fontId="14" fillId="2" borderId="0" xfId="0" applyFont="1" applyFill="1"/>
    <xf numFmtId="0" fontId="2" fillId="2" borderId="0" xfId="0" applyFont="1" applyFill="1"/>
    <xf numFmtId="14" fontId="7" fillId="2" borderId="0" xfId="0" applyNumberFormat="1" applyFont="1" applyFill="1" applyAlignment="1">
      <alignment horizontal="left" vertical="center" wrapText="1"/>
    </xf>
    <xf numFmtId="3" fontId="8" fillId="2" borderId="0" xfId="0" applyNumberFormat="1" applyFont="1" applyFill="1"/>
    <xf numFmtId="3" fontId="14" fillId="2" borderId="0" xfId="0" applyNumberFormat="1" applyFont="1" applyFill="1"/>
    <xf numFmtId="0" fontId="0" fillId="7" borderId="0" xfId="0" applyFill="1"/>
    <xf numFmtId="0" fontId="14" fillId="7" borderId="0" xfId="0" applyFont="1" applyFill="1"/>
    <xf numFmtId="3" fontId="8" fillId="7" borderId="0" xfId="0" applyNumberFormat="1" applyFont="1" applyFill="1"/>
    <xf numFmtId="0" fontId="0" fillId="8" borderId="0" xfId="0" applyFill="1"/>
    <xf numFmtId="0" fontId="14" fillId="8" borderId="0" xfId="0" applyFont="1" applyFill="1"/>
    <xf numFmtId="3" fontId="0" fillId="8" borderId="0" xfId="0" applyNumberFormat="1" applyFill="1"/>
    <xf numFmtId="3" fontId="14" fillId="8" borderId="0" xfId="0" applyNumberFormat="1" applyFont="1" applyFill="1"/>
    <xf numFmtId="3" fontId="8" fillId="8" borderId="0" xfId="0" applyNumberFormat="1" applyFont="1" applyFill="1"/>
    <xf numFmtId="0" fontId="0" fillId="2"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eur-lex.europa.eu/legal-content/EN/TXT/?uri=CELEX:32013D0529" TargetMode="External"/><Relationship Id="rId18" Type="http://schemas.openxmlformats.org/officeDocument/2006/relationships/hyperlink" Target="http://eur-lex.europa.eu/legal-content/EN/TXT/?uri=CELEX:32013D0529" TargetMode="External"/><Relationship Id="rId26" Type="http://schemas.openxmlformats.org/officeDocument/2006/relationships/hyperlink" Target="http://eur-lex.europa.eu/legal-content/EN/TXT/?uri=CELEX:32013D0529" TargetMode="External"/><Relationship Id="rId39" Type="http://schemas.openxmlformats.org/officeDocument/2006/relationships/hyperlink" Target="http://eur-lex.europa.eu/legal-content/EN/TXT/?uri=CELEX:32013D0529" TargetMode="External"/><Relationship Id="rId21" Type="http://schemas.openxmlformats.org/officeDocument/2006/relationships/hyperlink" Target="http://eur-lex.europa.eu/legal-content/EN/TXT/?uri=CELEX:32013D0529" TargetMode="External"/><Relationship Id="rId34" Type="http://schemas.openxmlformats.org/officeDocument/2006/relationships/hyperlink" Target="http://eur-lex.europa.eu/legal-content/EN/TXT/?uri=CELEX:32013D0529" TargetMode="External"/><Relationship Id="rId42" Type="http://schemas.openxmlformats.org/officeDocument/2006/relationships/hyperlink" Target="http://eur-lex.europa.eu/legal-content/EN/TXT/?uri=CELEX:32013D0529" TargetMode="External"/><Relationship Id="rId47" Type="http://schemas.openxmlformats.org/officeDocument/2006/relationships/hyperlink" Target="http://eur-lex.europa.eu/legal-content/EN/TXT/?uri=CELEX:32013D0529" TargetMode="External"/><Relationship Id="rId50" Type="http://schemas.openxmlformats.org/officeDocument/2006/relationships/hyperlink" Target="http://eur-lex.europa.eu/legal-content/EN/TXT/?uri=CELEX:32013D0529" TargetMode="External"/><Relationship Id="rId55" Type="http://schemas.openxmlformats.org/officeDocument/2006/relationships/hyperlink" Target="http://eur-lex.europa.eu/legal-content/EN/TXT/?uri=CELEX:32013D0529" TargetMode="External"/><Relationship Id="rId7" Type="http://schemas.openxmlformats.org/officeDocument/2006/relationships/hyperlink" Target="http://eur-lex.europa.eu/legal-content/EN/TXT/?uri=CELEX:32013D0529" TargetMode="External"/><Relationship Id="rId2" Type="http://schemas.openxmlformats.org/officeDocument/2006/relationships/hyperlink" Target="http://eur-lex.europa.eu/legal-content/EN/TXT/?uri=CELEX:32013D0529" TargetMode="External"/><Relationship Id="rId16" Type="http://schemas.openxmlformats.org/officeDocument/2006/relationships/hyperlink" Target="http://eur-lex.europa.eu/legal-content/EN/TXT/?uri=CELEX:32013D0529" TargetMode="External"/><Relationship Id="rId29" Type="http://schemas.openxmlformats.org/officeDocument/2006/relationships/hyperlink" Target="http://eur-lex.europa.eu/legal-content/EN/TXT/?uri=CELEX:32013D0529" TargetMode="External"/><Relationship Id="rId11" Type="http://schemas.openxmlformats.org/officeDocument/2006/relationships/hyperlink" Target="http://eur-lex.europa.eu/legal-content/EN/TXT/?uri=CELEX:32013D0529" TargetMode="External"/><Relationship Id="rId24" Type="http://schemas.openxmlformats.org/officeDocument/2006/relationships/hyperlink" Target="http://eur-lex.europa.eu/legal-content/EN/TXT/?uri=CELEX:32013D0529" TargetMode="External"/><Relationship Id="rId32" Type="http://schemas.openxmlformats.org/officeDocument/2006/relationships/hyperlink" Target="http://eur-lex.europa.eu/legal-content/EN/TXT/?uri=CELEX:32013D0529" TargetMode="External"/><Relationship Id="rId37" Type="http://schemas.openxmlformats.org/officeDocument/2006/relationships/hyperlink" Target="http://eur-lex.europa.eu/legal-content/EN/TXT/?uri=CELEX:32013D0529" TargetMode="External"/><Relationship Id="rId40" Type="http://schemas.openxmlformats.org/officeDocument/2006/relationships/hyperlink" Target="http://eur-lex.europa.eu/legal-content/EN/TXT/?uri=CELEX:32013D0529" TargetMode="External"/><Relationship Id="rId45" Type="http://schemas.openxmlformats.org/officeDocument/2006/relationships/hyperlink" Target="http://eur-lex.europa.eu/legal-content/EN/TXT/?uri=CELEX:32013D0529" TargetMode="External"/><Relationship Id="rId53" Type="http://schemas.openxmlformats.org/officeDocument/2006/relationships/hyperlink" Target="http://eur-lex.europa.eu/legal-content/EN/TXT/?uri=CELEX:32013D0529" TargetMode="External"/><Relationship Id="rId58" Type="http://schemas.openxmlformats.org/officeDocument/2006/relationships/printerSettings" Target="../printerSettings/printerSettings1.bin"/><Relationship Id="rId5" Type="http://schemas.openxmlformats.org/officeDocument/2006/relationships/hyperlink" Target="http://eur-lex.europa.eu/legal-content/EN/TXT/?uri=CELEX:32013D0529" TargetMode="External"/><Relationship Id="rId19" Type="http://schemas.openxmlformats.org/officeDocument/2006/relationships/hyperlink" Target="http://eur-lex.europa.eu/legal-content/EN/TXT/?uri=CELEX:32013D0529" TargetMode="External"/><Relationship Id="rId4" Type="http://schemas.openxmlformats.org/officeDocument/2006/relationships/hyperlink" Target="http://eur-lex.europa.eu/legal-content/EN/TXT/?uri=CELEX:32013D0529" TargetMode="External"/><Relationship Id="rId9" Type="http://schemas.openxmlformats.org/officeDocument/2006/relationships/hyperlink" Target="http://eur-lex.europa.eu/legal-content/EN/TXT/?uri=CELEX:32013D0529" TargetMode="External"/><Relationship Id="rId14" Type="http://schemas.openxmlformats.org/officeDocument/2006/relationships/hyperlink" Target="http://eur-lex.europa.eu/legal-content/EN/TXT/?uri=CELEX:32013D0529" TargetMode="External"/><Relationship Id="rId22" Type="http://schemas.openxmlformats.org/officeDocument/2006/relationships/hyperlink" Target="http://eur-lex.europa.eu/legal-content/EN/TXT/?uri=CELEX:32013D0529" TargetMode="External"/><Relationship Id="rId27" Type="http://schemas.openxmlformats.org/officeDocument/2006/relationships/hyperlink" Target="http://eur-lex.europa.eu/legal-content/EN/TXT/?uri=CELEX:32013D0529" TargetMode="External"/><Relationship Id="rId30" Type="http://schemas.openxmlformats.org/officeDocument/2006/relationships/hyperlink" Target="http://eur-lex.europa.eu/legal-content/EN/TXT/?uri=CELEX:32013D0529" TargetMode="External"/><Relationship Id="rId35" Type="http://schemas.openxmlformats.org/officeDocument/2006/relationships/hyperlink" Target="http://eur-lex.europa.eu/legal-content/EN/TXT/?uri=CELEX:32013D0529" TargetMode="External"/><Relationship Id="rId43" Type="http://schemas.openxmlformats.org/officeDocument/2006/relationships/hyperlink" Target="http://eur-lex.europa.eu/legal-content/EN/TXT/?uri=CELEX:32013D0529" TargetMode="External"/><Relationship Id="rId48" Type="http://schemas.openxmlformats.org/officeDocument/2006/relationships/hyperlink" Target="http://eur-lex.europa.eu/legal-content/EN/TXT/?uri=CELEX:32013D0529" TargetMode="External"/><Relationship Id="rId56" Type="http://schemas.openxmlformats.org/officeDocument/2006/relationships/hyperlink" Target="http://eur-lex.europa.eu/legal-content/EN/TXT/?uri=CELEX:32013D0529" TargetMode="External"/><Relationship Id="rId8" Type="http://schemas.openxmlformats.org/officeDocument/2006/relationships/hyperlink" Target="http://eur-lex.europa.eu/legal-content/EN/TXT/?uri=CELEX:32013D0529" TargetMode="External"/><Relationship Id="rId51" Type="http://schemas.openxmlformats.org/officeDocument/2006/relationships/hyperlink" Target="http://eur-lex.europa.eu/legal-content/EN/TXT/?uri=CELEX:32013D0529" TargetMode="External"/><Relationship Id="rId3" Type="http://schemas.openxmlformats.org/officeDocument/2006/relationships/hyperlink" Target="http://eur-lex.europa.eu/legal-content/EN/TXT/?uri=CELEX:32013D0529" TargetMode="External"/><Relationship Id="rId12" Type="http://schemas.openxmlformats.org/officeDocument/2006/relationships/hyperlink" Target="http://eur-lex.europa.eu/legal-content/EN/TXT/?uri=CELEX:32013D0529" TargetMode="External"/><Relationship Id="rId17" Type="http://schemas.openxmlformats.org/officeDocument/2006/relationships/hyperlink" Target="http://eur-lex.europa.eu/legal-content/EN/TXT/?uri=CELEX:32013D0529" TargetMode="External"/><Relationship Id="rId25" Type="http://schemas.openxmlformats.org/officeDocument/2006/relationships/hyperlink" Target="http://eur-lex.europa.eu/legal-content/EN/TXT/?uri=CELEX:32013D0529" TargetMode="External"/><Relationship Id="rId33" Type="http://schemas.openxmlformats.org/officeDocument/2006/relationships/hyperlink" Target="http://eur-lex.europa.eu/legal-content/EN/TXT/?uri=CELEX:32013D0529" TargetMode="External"/><Relationship Id="rId38" Type="http://schemas.openxmlformats.org/officeDocument/2006/relationships/hyperlink" Target="http://eur-lex.europa.eu/legal-content/EN/TXT/?uri=CELEX:32013D0529" TargetMode="External"/><Relationship Id="rId46" Type="http://schemas.openxmlformats.org/officeDocument/2006/relationships/hyperlink" Target="http://eur-lex.europa.eu/legal-content/EN/TXT/?uri=CELEX:32013D0529" TargetMode="External"/><Relationship Id="rId20" Type="http://schemas.openxmlformats.org/officeDocument/2006/relationships/hyperlink" Target="http://eur-lex.europa.eu/legal-content/EN/TXT/?uri=CELEX:32013D0529" TargetMode="External"/><Relationship Id="rId41" Type="http://schemas.openxmlformats.org/officeDocument/2006/relationships/hyperlink" Target="http://eur-lex.europa.eu/legal-content/EN/TXT/?uri=CELEX:32013D0529" TargetMode="External"/><Relationship Id="rId54" Type="http://schemas.openxmlformats.org/officeDocument/2006/relationships/hyperlink" Target="http://eur-lex.europa.eu/legal-content/EN/TXT/?uri=CELEX:32013D0529" TargetMode="External"/><Relationship Id="rId1" Type="http://schemas.openxmlformats.org/officeDocument/2006/relationships/hyperlink" Target="http://eur-lex.europa.eu/legal-content/EN/TXT/?uri=CELEX:32013D0529" TargetMode="External"/><Relationship Id="rId6" Type="http://schemas.openxmlformats.org/officeDocument/2006/relationships/hyperlink" Target="http://eur-lex.europa.eu/legal-content/EN/TXT/?uri=CELEX:32013D0529" TargetMode="External"/><Relationship Id="rId15" Type="http://schemas.openxmlformats.org/officeDocument/2006/relationships/hyperlink" Target="http://eur-lex.europa.eu/legal-content/EN/TXT/?uri=CELEX:32013D0529" TargetMode="External"/><Relationship Id="rId23" Type="http://schemas.openxmlformats.org/officeDocument/2006/relationships/hyperlink" Target="http://eur-lex.europa.eu/legal-content/EN/TXT/?uri=CELEX:32013D0529" TargetMode="External"/><Relationship Id="rId28" Type="http://schemas.openxmlformats.org/officeDocument/2006/relationships/hyperlink" Target="http://eur-lex.europa.eu/legal-content/EN/TXT/?uri=CELEX:32013D0529" TargetMode="External"/><Relationship Id="rId36" Type="http://schemas.openxmlformats.org/officeDocument/2006/relationships/hyperlink" Target="http://eur-lex.europa.eu/legal-content/EN/TXT/?uri=CELEX:32013D0529" TargetMode="External"/><Relationship Id="rId49" Type="http://schemas.openxmlformats.org/officeDocument/2006/relationships/hyperlink" Target="http://eur-lex.europa.eu/legal-content/EN/TXT/?uri=CELEX:32013D0529" TargetMode="External"/><Relationship Id="rId57" Type="http://schemas.openxmlformats.org/officeDocument/2006/relationships/hyperlink" Target="http://eur-lex.europa.eu/legal-content/EN/TXT/?uri=CELEX:32013D0529" TargetMode="External"/><Relationship Id="rId10" Type="http://schemas.openxmlformats.org/officeDocument/2006/relationships/hyperlink" Target="http://eur-lex.europa.eu/legal-content/EN/TXT/?uri=CELEX:32013D0529" TargetMode="External"/><Relationship Id="rId31" Type="http://schemas.openxmlformats.org/officeDocument/2006/relationships/hyperlink" Target="http://eur-lex.europa.eu/legal-content/EN/TXT/?uri=CELEX:32013D0529" TargetMode="External"/><Relationship Id="rId44" Type="http://schemas.openxmlformats.org/officeDocument/2006/relationships/hyperlink" Target="http://eur-lex.europa.eu/legal-content/EN/TXT/?uri=CELEX:32013D0529" TargetMode="External"/><Relationship Id="rId52" Type="http://schemas.openxmlformats.org/officeDocument/2006/relationships/hyperlink" Target="http://eur-lex.europa.eu/legal-content/EN/TXT/?uri=CELEX:32013D05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3917-46ED-4D08-A4D5-03780E8CFD3E}">
  <sheetPr filterMode="1"/>
  <dimension ref="A1:AM793"/>
  <sheetViews>
    <sheetView tabSelected="1" topLeftCell="A199" workbookViewId="0">
      <selection activeCell="E211" sqref="E211"/>
    </sheetView>
  </sheetViews>
  <sheetFormatPr baseColWidth="10" defaultRowHeight="14.5" x14ac:dyDescent="0.35"/>
  <cols>
    <col min="2" max="2" width="13.453125" customWidth="1"/>
    <col min="3" max="3" width="30.6328125" style="26" customWidth="1"/>
    <col min="4" max="4" width="15.26953125" style="26" customWidth="1"/>
    <col min="5" max="5" width="23.6328125" style="26" customWidth="1"/>
    <col min="6" max="6" width="15.26953125" style="26" customWidth="1"/>
    <col min="7" max="7" width="10.90625" style="26"/>
    <col min="8" max="8" width="20.36328125" style="10" customWidth="1"/>
    <col min="9" max="10" width="21.1796875" style="10" customWidth="1"/>
    <col min="11" max="11" width="21.1796875" style="1" customWidth="1"/>
    <col min="12" max="12" width="15.26953125" style="1" customWidth="1"/>
    <col min="13" max="13" width="14.54296875" style="1" customWidth="1"/>
    <col min="14" max="14" width="10.90625" style="3"/>
    <col min="15" max="15" width="10.90625" style="56"/>
    <col min="16" max="16" width="10.90625" style="1"/>
    <col min="17" max="17" width="10.90625" style="59"/>
    <col min="18" max="23" width="10.90625" style="1"/>
    <col min="24" max="24" width="21.54296875" style="1" customWidth="1"/>
    <col min="25" max="26" width="22.08984375" style="1" customWidth="1"/>
    <col min="34" max="34" width="46" customWidth="1"/>
  </cols>
  <sheetData>
    <row r="1" spans="1:38" x14ac:dyDescent="0.35">
      <c r="A1" t="s">
        <v>0</v>
      </c>
      <c r="B1" t="s">
        <v>1</v>
      </c>
      <c r="C1" s="26" t="s">
        <v>2</v>
      </c>
      <c r="D1" s="26" t="s">
        <v>3</v>
      </c>
      <c r="E1" s="26" t="s">
        <v>1090</v>
      </c>
      <c r="F1" t="s">
        <v>1098</v>
      </c>
      <c r="G1" s="26" t="s">
        <v>14</v>
      </c>
      <c r="H1" s="10" t="s">
        <v>1075</v>
      </c>
      <c r="I1" s="10" t="s">
        <v>1081</v>
      </c>
      <c r="J1" s="10" t="s">
        <v>1084</v>
      </c>
      <c r="K1" s="1" t="s">
        <v>1083</v>
      </c>
      <c r="L1" s="1" t="s">
        <v>1088</v>
      </c>
      <c r="M1" s="1" t="s">
        <v>4</v>
      </c>
      <c r="N1" s="3" t="s">
        <v>5</v>
      </c>
      <c r="O1" s="56" t="s">
        <v>6</v>
      </c>
      <c r="P1" s="1" t="s">
        <v>7</v>
      </c>
      <c r="Q1" s="59" t="s">
        <v>8</v>
      </c>
      <c r="R1" s="1" t="s">
        <v>9</v>
      </c>
      <c r="S1" s="1" t="s">
        <v>10</v>
      </c>
      <c r="T1" s="1" t="s">
        <v>11</v>
      </c>
      <c r="U1" s="1" t="s">
        <v>12</v>
      </c>
      <c r="V1" s="1" t="s">
        <v>22</v>
      </c>
      <c r="W1" s="1" t="s">
        <v>23</v>
      </c>
      <c r="X1" s="1" t="s">
        <v>1032</v>
      </c>
      <c r="Y1" s="1" t="s">
        <v>1080</v>
      </c>
      <c r="Z1" s="1" t="s">
        <v>1072</v>
      </c>
      <c r="AA1" t="s">
        <v>13</v>
      </c>
      <c r="AB1" t="s">
        <v>15</v>
      </c>
      <c r="AC1" t="s">
        <v>16</v>
      </c>
      <c r="AD1" t="s">
        <v>17</v>
      </c>
      <c r="AE1" t="s">
        <v>18</v>
      </c>
      <c r="AF1" t="s">
        <v>19</v>
      </c>
      <c r="AG1" t="s">
        <v>20</v>
      </c>
      <c r="AH1" t="s">
        <v>21</v>
      </c>
      <c r="AI1" t="s">
        <v>24</v>
      </c>
      <c r="AJ1" t="s">
        <v>25</v>
      </c>
      <c r="AK1" t="s">
        <v>26</v>
      </c>
      <c r="AL1" t="s">
        <v>27</v>
      </c>
    </row>
    <row r="2" spans="1:38" s="1" customFormat="1" hidden="1" x14ac:dyDescent="0.35">
      <c r="A2" s="1" t="s">
        <v>28</v>
      </c>
      <c r="B2" s="1" t="s">
        <v>1028</v>
      </c>
      <c r="C2" s="26" t="s">
        <v>29</v>
      </c>
      <c r="D2" s="26">
        <v>13.6</v>
      </c>
      <c r="E2" s="26"/>
      <c r="F2" s="26"/>
      <c r="G2" s="26"/>
      <c r="H2" s="1" t="s">
        <v>1076</v>
      </c>
      <c r="I2" s="10"/>
      <c r="J2" s="10"/>
      <c r="L2" s="1">
        <v>13.6</v>
      </c>
      <c r="S2" s="1" t="s">
        <v>30</v>
      </c>
      <c r="U2" s="1">
        <v>2030</v>
      </c>
      <c r="V2" s="1">
        <v>1</v>
      </c>
      <c r="W2" s="1">
        <v>1</v>
      </c>
      <c r="X2" s="1" t="s">
        <v>32</v>
      </c>
      <c r="Y2" s="1" t="s">
        <v>32</v>
      </c>
      <c r="AB2" s="1">
        <v>0</v>
      </c>
      <c r="AF2" s="1" t="s">
        <v>31</v>
      </c>
      <c r="AJ2" s="1" t="s">
        <v>33</v>
      </c>
    </row>
    <row r="3" spans="1:38" s="10" customFormat="1" ht="17.5" x14ac:dyDescent="0.35">
      <c r="A3" s="10" t="s">
        <v>28</v>
      </c>
      <c r="B3" s="10" t="s">
        <v>1029</v>
      </c>
      <c r="C3" s="10" t="s">
        <v>34</v>
      </c>
      <c r="D3" s="10">
        <v>13.6</v>
      </c>
      <c r="E3" t="s">
        <v>1097</v>
      </c>
      <c r="F3" t="s">
        <v>1097</v>
      </c>
      <c r="G3" s="12" t="s">
        <v>129</v>
      </c>
      <c r="H3" s="10" t="s">
        <v>1076</v>
      </c>
      <c r="L3" s="10">
        <v>13.6</v>
      </c>
      <c r="M3" s="1"/>
      <c r="O3" s="56"/>
      <c r="P3" s="1"/>
      <c r="Q3" s="59"/>
      <c r="S3" s="10" t="s">
        <v>30</v>
      </c>
      <c r="U3" s="10">
        <v>2030</v>
      </c>
      <c r="V3" s="10">
        <v>1</v>
      </c>
      <c r="W3" s="10">
        <v>1</v>
      </c>
      <c r="X3" s="10" t="s">
        <v>32</v>
      </c>
      <c r="Y3" s="10" t="s">
        <v>32</v>
      </c>
      <c r="AB3" s="10">
        <v>0</v>
      </c>
      <c r="AF3" s="10" t="s">
        <v>31</v>
      </c>
      <c r="AJ3" s="10" t="s">
        <v>33</v>
      </c>
    </row>
    <row r="4" spans="1:38" s="10" customFormat="1" x14ac:dyDescent="0.35">
      <c r="A4" s="10" t="s">
        <v>28</v>
      </c>
      <c r="B4" s="10" t="s">
        <v>1030</v>
      </c>
      <c r="I4" s="22" t="s">
        <v>1082</v>
      </c>
      <c r="J4" s="22"/>
      <c r="K4" s="22"/>
      <c r="M4" s="1"/>
      <c r="O4" s="56"/>
      <c r="P4" s="1"/>
      <c r="Q4" s="59"/>
    </row>
    <row r="5" spans="1:38" s="2" customFormat="1" hidden="1" x14ac:dyDescent="0.35">
      <c r="A5" s="2" t="s">
        <v>28</v>
      </c>
      <c r="B5" s="2" t="s">
        <v>1031</v>
      </c>
      <c r="C5" s="26"/>
      <c r="D5" s="26"/>
      <c r="E5" s="26"/>
      <c r="F5" s="26"/>
      <c r="G5" s="26"/>
      <c r="I5" s="10"/>
      <c r="J5" s="10"/>
      <c r="K5" s="1"/>
      <c r="M5" s="10"/>
      <c r="N5" s="3"/>
      <c r="P5" s="3"/>
      <c r="Q5" s="10"/>
      <c r="S5" s="1"/>
      <c r="T5" s="1"/>
      <c r="U5" s="1"/>
      <c r="V5" s="1"/>
      <c r="W5" s="1"/>
      <c r="X5" s="1"/>
      <c r="Y5" s="1"/>
      <c r="Z5" s="1"/>
    </row>
    <row r="6" spans="1:38" s="2" customFormat="1" hidden="1" x14ac:dyDescent="0.35">
      <c r="A6" s="2" t="s">
        <v>35</v>
      </c>
      <c r="B6" s="2" t="s">
        <v>1028</v>
      </c>
      <c r="C6" s="26" t="s">
        <v>36</v>
      </c>
      <c r="D6" s="26">
        <v>11.5</v>
      </c>
      <c r="E6" s="26"/>
      <c r="F6" s="26"/>
      <c r="G6" s="26" t="s">
        <v>38</v>
      </c>
      <c r="H6" s="2" t="s">
        <v>1077</v>
      </c>
      <c r="I6" s="10"/>
      <c r="J6" s="10"/>
      <c r="K6" s="1"/>
      <c r="L6" s="2">
        <v>11.5</v>
      </c>
      <c r="M6" s="10" t="s">
        <v>37</v>
      </c>
      <c r="N6" s="3">
        <v>11.5</v>
      </c>
      <c r="O6" s="2">
        <v>708</v>
      </c>
      <c r="P6" s="3"/>
      <c r="Q6" s="10"/>
      <c r="S6" s="1" t="s">
        <v>30</v>
      </c>
      <c r="T6" s="1"/>
      <c r="U6" s="1">
        <v>2030</v>
      </c>
      <c r="V6" s="1">
        <v>0</v>
      </c>
      <c r="W6" s="1">
        <v>0</v>
      </c>
      <c r="X6" s="1" t="s">
        <v>32</v>
      </c>
      <c r="Y6" s="1" t="s">
        <v>32</v>
      </c>
      <c r="Z6" s="1"/>
      <c r="AB6" s="2">
        <v>0</v>
      </c>
      <c r="AF6" s="2" t="s">
        <v>39</v>
      </c>
    </row>
    <row r="7" spans="1:38" s="10" customFormat="1" x14ac:dyDescent="0.35">
      <c r="A7" s="10" t="s">
        <v>35</v>
      </c>
      <c r="B7" s="10" t="s">
        <v>1029</v>
      </c>
      <c r="C7" s="10" t="s">
        <v>40</v>
      </c>
      <c r="D7" s="10">
        <v>11.6</v>
      </c>
      <c r="E7" s="10" t="s">
        <v>1091</v>
      </c>
      <c r="F7" s="10" t="s">
        <v>1091</v>
      </c>
      <c r="G7" s="10" t="s">
        <v>38</v>
      </c>
      <c r="H7" s="10" t="s">
        <v>1078</v>
      </c>
      <c r="L7" s="10">
        <v>11.6</v>
      </c>
      <c r="M7" s="1" t="s">
        <v>37</v>
      </c>
      <c r="N7" s="10">
        <v>11.6</v>
      </c>
      <c r="O7" s="56">
        <v>708</v>
      </c>
      <c r="P7" s="1"/>
      <c r="Q7" s="59"/>
      <c r="S7" s="10" t="s">
        <v>30</v>
      </c>
      <c r="U7" s="10">
        <v>2030</v>
      </c>
      <c r="V7" s="10">
        <v>0</v>
      </c>
      <c r="W7" s="10">
        <v>0</v>
      </c>
      <c r="X7" s="10" t="s">
        <v>32</v>
      </c>
      <c r="Y7" s="1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c r="L8" s="10">
        <v>20.9</v>
      </c>
      <c r="M8" s="1">
        <v>16.827999999999999</v>
      </c>
      <c r="N8" s="10">
        <v>20.9</v>
      </c>
      <c r="O8" s="56" t="s">
        <v>42</v>
      </c>
      <c r="P8" s="1"/>
      <c r="Q8" s="59"/>
      <c r="S8" s="10" t="s">
        <v>30</v>
      </c>
      <c r="U8" s="10">
        <v>2030</v>
      </c>
      <c r="W8" s="10">
        <v>1</v>
      </c>
      <c r="X8" s="10" t="s">
        <v>32</v>
      </c>
      <c r="Y8" s="10" t="s">
        <v>32</v>
      </c>
      <c r="AB8" s="10">
        <v>0</v>
      </c>
      <c r="AF8" s="22" t="s">
        <v>1093</v>
      </c>
    </row>
    <row r="9" spans="1:38" s="2" customFormat="1" hidden="1" x14ac:dyDescent="0.35">
      <c r="A9" s="2" t="s">
        <v>35</v>
      </c>
      <c r="B9" s="2" t="s">
        <v>1031</v>
      </c>
      <c r="C9" s="26"/>
      <c r="D9" s="26"/>
      <c r="E9" s="26"/>
      <c r="F9" s="26"/>
      <c r="G9" s="26"/>
      <c r="H9" s="10"/>
      <c r="I9" s="10"/>
      <c r="J9" s="10"/>
      <c r="K9" s="1"/>
      <c r="M9" s="10"/>
      <c r="N9" s="3"/>
      <c r="P9" s="3"/>
      <c r="Q9" s="10"/>
      <c r="S9" s="1"/>
      <c r="T9" s="1"/>
      <c r="U9" s="1"/>
      <c r="V9" s="1"/>
      <c r="W9" s="1"/>
      <c r="X9" s="1"/>
      <c r="Y9" s="1"/>
      <c r="Z9" s="1"/>
    </row>
    <row r="10" spans="1:38" s="1" customFormat="1" hidden="1" x14ac:dyDescent="0.35">
      <c r="A10" s="1" t="s">
        <v>43</v>
      </c>
      <c r="B10" s="1" t="s">
        <v>1028</v>
      </c>
      <c r="C10" s="26" t="s">
        <v>44</v>
      </c>
      <c r="D10" s="26">
        <v>37</v>
      </c>
      <c r="E10" s="26"/>
      <c r="F10" s="26"/>
      <c r="G10" s="26" t="s">
        <v>41</v>
      </c>
      <c r="I10" s="10"/>
      <c r="J10" s="10"/>
      <c r="L10" s="1">
        <v>37</v>
      </c>
      <c r="M10" s="1">
        <v>193.73</v>
      </c>
      <c r="N10" s="1">
        <v>37</v>
      </c>
      <c r="O10" s="1">
        <v>193.73</v>
      </c>
      <c r="S10" s="1" t="s">
        <v>45</v>
      </c>
      <c r="U10" s="1">
        <v>2030</v>
      </c>
      <c r="V10" s="1">
        <v>0</v>
      </c>
      <c r="W10" s="1">
        <v>0</v>
      </c>
      <c r="X10" s="1" t="s">
        <v>32</v>
      </c>
      <c r="Y10" s="1" t="s">
        <v>32</v>
      </c>
      <c r="AB10" s="1">
        <v>0</v>
      </c>
      <c r="AF10" s="1" t="s">
        <v>46</v>
      </c>
    </row>
    <row r="11" spans="1:38" s="10" customFormat="1" x14ac:dyDescent="0.35">
      <c r="A11" s="10" t="s">
        <v>43</v>
      </c>
      <c r="B11" s="10" t="s">
        <v>1029</v>
      </c>
      <c r="C11" s="10" t="s">
        <v>47</v>
      </c>
      <c r="D11" s="10">
        <v>37</v>
      </c>
      <c r="E11" s="10" t="s">
        <v>1091</v>
      </c>
      <c r="F11" s="10" t="s">
        <v>1091</v>
      </c>
      <c r="G11" s="10" t="s">
        <v>38</v>
      </c>
      <c r="H11" s="10" t="s">
        <v>1078</v>
      </c>
      <c r="L11" s="10">
        <v>37</v>
      </c>
      <c r="M11" s="1">
        <v>193.73</v>
      </c>
      <c r="N11" s="10">
        <v>37</v>
      </c>
      <c r="O11" s="56">
        <v>193.73</v>
      </c>
      <c r="P11" s="1"/>
      <c r="Q11" s="59"/>
      <c r="S11" s="10" t="s">
        <v>45</v>
      </c>
      <c r="U11" s="10">
        <v>2030</v>
      </c>
      <c r="V11" s="10">
        <v>0</v>
      </c>
      <c r="W11" s="10">
        <v>0</v>
      </c>
      <c r="X11" s="10" t="s">
        <v>32</v>
      </c>
      <c r="Y11" s="10" t="s">
        <v>32</v>
      </c>
      <c r="AB11" s="10">
        <v>0</v>
      </c>
      <c r="AF11" s="10" t="s">
        <v>46</v>
      </c>
    </row>
    <row r="12" spans="1:38" s="10" customFormat="1" ht="17" x14ac:dyDescent="0.35">
      <c r="A12" s="10" t="s">
        <v>43</v>
      </c>
      <c r="B12" s="10" t="s">
        <v>1030</v>
      </c>
      <c r="C12" s="33">
        <v>44784</v>
      </c>
      <c r="D12" s="10">
        <v>55</v>
      </c>
      <c r="E12" s="10" t="s">
        <v>1091</v>
      </c>
      <c r="F12" s="10" t="s">
        <v>1091</v>
      </c>
      <c r="G12" s="10" t="s">
        <v>48</v>
      </c>
      <c r="H12" s="10" t="s">
        <v>1078</v>
      </c>
      <c r="L12" s="10">
        <v>55</v>
      </c>
      <c r="M12" s="1">
        <v>292</v>
      </c>
      <c r="N12" s="10">
        <v>55</v>
      </c>
      <c r="O12" s="56">
        <v>292</v>
      </c>
      <c r="P12" s="1"/>
      <c r="Q12" s="59"/>
      <c r="S12" s="10" t="s">
        <v>45</v>
      </c>
      <c r="U12" s="10">
        <v>2030</v>
      </c>
      <c r="V12" s="10">
        <v>0</v>
      </c>
      <c r="W12" s="10">
        <v>1</v>
      </c>
      <c r="X12" s="10" t="s">
        <v>32</v>
      </c>
      <c r="Y12" s="10" t="s">
        <v>32</v>
      </c>
      <c r="AB12" s="10">
        <v>1</v>
      </c>
      <c r="AC12" s="10">
        <v>2050</v>
      </c>
      <c r="AF12" s="10" t="s">
        <v>1094</v>
      </c>
    </row>
    <row r="13" spans="1:38" s="2" customFormat="1" hidden="1" x14ac:dyDescent="0.35">
      <c r="A13" s="2" t="s">
        <v>43</v>
      </c>
      <c r="B13" s="2" t="s">
        <v>1031</v>
      </c>
      <c r="C13" s="26">
        <v>45779</v>
      </c>
      <c r="D13" s="26">
        <v>63</v>
      </c>
      <c r="E13" s="26"/>
      <c r="F13" s="26"/>
      <c r="G13" s="26" t="s">
        <v>49</v>
      </c>
      <c r="H13" s="10"/>
      <c r="I13" s="10"/>
      <c r="J13" s="10"/>
      <c r="K13" s="1"/>
      <c r="L13" s="2">
        <v>63</v>
      </c>
      <c r="M13" s="10"/>
      <c r="N13" s="3">
        <v>63</v>
      </c>
      <c r="P13" s="3"/>
      <c r="Q13" s="10"/>
      <c r="S13" s="1" t="s">
        <v>45</v>
      </c>
      <c r="T13" s="1">
        <v>2005</v>
      </c>
      <c r="U13" s="1">
        <v>2035</v>
      </c>
      <c r="V13" s="1">
        <v>0</v>
      </c>
      <c r="W13" s="1">
        <v>0</v>
      </c>
      <c r="X13" s="1" t="s">
        <v>51</v>
      </c>
      <c r="Y13" s="1" t="s">
        <v>51</v>
      </c>
      <c r="Z13" s="1"/>
      <c r="AB13" s="2">
        <v>1</v>
      </c>
      <c r="AC13" s="2">
        <v>2050</v>
      </c>
      <c r="AF13" s="2" t="s">
        <v>50</v>
      </c>
    </row>
    <row r="14" spans="1:38" s="2" customFormat="1" hidden="1" x14ac:dyDescent="0.35">
      <c r="A14" s="2" t="s">
        <v>52</v>
      </c>
      <c r="B14" s="2" t="s">
        <v>1028</v>
      </c>
      <c r="C14" s="26">
        <v>42014</v>
      </c>
      <c r="D14" s="26">
        <v>29</v>
      </c>
      <c r="E14" s="26"/>
      <c r="F14" s="26"/>
      <c r="G14" s="26" t="s">
        <v>53</v>
      </c>
      <c r="H14" s="2" t="s">
        <v>1077</v>
      </c>
      <c r="I14" s="10"/>
      <c r="J14" s="10"/>
      <c r="K14" s="1"/>
      <c r="L14" s="2">
        <v>29</v>
      </c>
      <c r="M14" s="10"/>
      <c r="N14" s="3">
        <v>7</v>
      </c>
      <c r="P14" s="3">
        <v>22</v>
      </c>
      <c r="Q14" s="10"/>
      <c r="S14" s="1" t="s">
        <v>45</v>
      </c>
      <c r="T14" s="1"/>
      <c r="U14" s="1">
        <v>2030</v>
      </c>
      <c r="V14" s="1">
        <v>1</v>
      </c>
      <c r="W14" s="1">
        <v>1</v>
      </c>
      <c r="X14" s="1" t="s">
        <v>32</v>
      </c>
      <c r="Y14" s="1" t="s">
        <v>32</v>
      </c>
      <c r="Z14" s="1"/>
      <c r="AB14" s="2">
        <v>0</v>
      </c>
      <c r="AF14" s="2" t="s">
        <v>54</v>
      </c>
    </row>
    <row r="15" spans="1:38" s="10" customFormat="1" x14ac:dyDescent="0.35">
      <c r="A15" s="10" t="s">
        <v>52</v>
      </c>
      <c r="B15" s="10" t="s">
        <v>1029</v>
      </c>
      <c r="C15" s="10" t="s">
        <v>55</v>
      </c>
      <c r="D15" s="10">
        <v>22</v>
      </c>
      <c r="E15" s="10" t="s">
        <v>1096</v>
      </c>
      <c r="F15" s="10" t="s">
        <v>1099</v>
      </c>
      <c r="G15" s="10" t="s">
        <v>56</v>
      </c>
      <c r="H15" s="10" t="s">
        <v>1077</v>
      </c>
      <c r="L15" s="10">
        <v>22</v>
      </c>
      <c r="M15" s="1"/>
      <c r="N15" s="10">
        <v>7</v>
      </c>
      <c r="O15" s="56"/>
      <c r="P15" s="1">
        <v>15</v>
      </c>
      <c r="Q15" s="59"/>
      <c r="S15" s="10" t="s">
        <v>45</v>
      </c>
      <c r="U15" s="10">
        <v>2030</v>
      </c>
      <c r="V15" s="10">
        <v>1</v>
      </c>
      <c r="W15" s="10">
        <v>1</v>
      </c>
      <c r="X15" s="10" t="s">
        <v>32</v>
      </c>
      <c r="Y15" s="10" t="s">
        <v>32</v>
      </c>
      <c r="AB15" s="10">
        <v>0</v>
      </c>
      <c r="AF15" s="10" t="s">
        <v>1095</v>
      </c>
    </row>
    <row r="16" spans="1:38" s="10" customFormat="1" x14ac:dyDescent="0.35">
      <c r="A16" s="10" t="s">
        <v>52</v>
      </c>
      <c r="B16" s="10" t="s">
        <v>1030</v>
      </c>
      <c r="I16" s="22" t="s">
        <v>1082</v>
      </c>
      <c r="J16" s="22"/>
      <c r="M16" s="1"/>
      <c r="O16" s="56"/>
      <c r="P16" s="1"/>
      <c r="Q16" s="59"/>
    </row>
    <row r="17" spans="1:38" s="2" customFormat="1" hidden="1" x14ac:dyDescent="0.35">
      <c r="A17" s="2" t="s">
        <v>52</v>
      </c>
      <c r="B17" s="2" t="s">
        <v>1031</v>
      </c>
      <c r="C17" s="26"/>
      <c r="D17" s="26"/>
      <c r="E17" s="26"/>
      <c r="F17" s="26"/>
      <c r="G17" s="26"/>
      <c r="H17" s="10"/>
      <c r="I17" s="10"/>
      <c r="J17" s="10"/>
      <c r="K17" s="1"/>
      <c r="M17" s="10"/>
      <c r="N17" s="3"/>
      <c r="P17" s="3"/>
      <c r="Q17" s="10"/>
      <c r="S17" s="1"/>
      <c r="T17" s="1"/>
      <c r="U17" s="1"/>
      <c r="V17" s="1"/>
      <c r="W17" s="1"/>
      <c r="X17" s="1"/>
      <c r="Y17" s="1"/>
      <c r="Z17" s="1"/>
    </row>
    <row r="18" spans="1:38" s="1" customFormat="1" hidden="1" x14ac:dyDescent="0.35">
      <c r="A18" s="1" t="s">
        <v>57</v>
      </c>
      <c r="B18" s="1" t="s">
        <v>1028</v>
      </c>
      <c r="C18" s="26" t="s">
        <v>58</v>
      </c>
      <c r="D18" s="26">
        <v>50</v>
      </c>
      <c r="E18" s="26"/>
      <c r="F18" s="26"/>
      <c r="G18" s="26" t="s">
        <v>53</v>
      </c>
      <c r="H18" s="2" t="s">
        <v>1077</v>
      </c>
      <c r="I18" s="10"/>
      <c r="J18" s="10"/>
      <c r="L18" s="1">
        <v>50</v>
      </c>
      <c r="N18" s="1">
        <v>35</v>
      </c>
      <c r="P18" s="1">
        <v>15</v>
      </c>
      <c r="S18" s="1" t="s">
        <v>45</v>
      </c>
      <c r="U18" s="1">
        <v>2030</v>
      </c>
      <c r="V18" s="1">
        <v>1</v>
      </c>
      <c r="W18" s="1">
        <v>1</v>
      </c>
      <c r="X18" s="1" t="s">
        <v>32</v>
      </c>
      <c r="Y18" s="1" t="s">
        <v>32</v>
      </c>
      <c r="AB18" s="1">
        <v>0</v>
      </c>
      <c r="AF18" s="1" t="s">
        <v>59</v>
      </c>
      <c r="AG18" s="1" t="str">
        <f>AF18</f>
        <v>Based on the last GHG inventory, the selected sectors are defined according to the revised IPCC Guidelines 1996 and cover the entire territory. | Focused sectors: Power generation from renewable sources; and Reforestation."Sectoral Conditional Actions: Diversify crops to less climate sensitive cultures; Locally available adapted seed varieties | Estimated Cost for Sectoral Conditional Actions: USD 3 Million; USD 5 Million". "Enhancing climate change resilience in the Benguela current fisheries system (regional project: Angola, Namibia and South Africa) | Implementing Agency for Sectoral Unconditional Actions: FAO | Estimated Cost for Sectoral Unconditional Actions: USD 16.520 Million"."Sectoral Unconditional Actions: Integrating climate change into environment and sustainable land management practices; Integrating Climate Resilience into Agricultural and Agropastoral Production Systems through Soil Fertility Management in Key Productive and Vulnerable Areas Using the Farmers Field School Approach. | Implementing Agency for Sectoral Unconditional Actions: AfDB; FAO | Estimated Cost for Sectoral Unconditional Actions: USD 24.831 Million; USD 32.143 Million | Sectoral Conditional Actions: Implement water-harvesting system in drought-prone areas; Promote SLM for increased agricultural yields. | Estimated Cost for Sectoral Conditional Actions: USD 3 Million; USD 5 Million". "Sectoral Target: Disseminate sustainable land management and adaptation practices in agro-forestry and land ecology in 350 communities. | Sectoral Unconditional Actions: Land Rehabilitation and Rangelands Management in Small Holders Agropastoral Production Systems in Southwestern Angola (Project RETESA). | Implementing Agency for Sectoral Unconditional Actions: FAO | Estimated Cost for Sectoral Unconditional Actions: USD 15.397 Million". "Sectoral Conditional Actions: Study the vulnerability of the fisheries sector to climate change and current modifications. | Estimated Cost for Sectoral Conditional Actions: USD 2 Million"."Sectoral Unconditional Actions: Addressing urgent coastal adaptation needs and capacity gaps in Angola. | Implementing Agency for Sectoral Unconditional Actions: UNDP | Estimated Cost for Sectoral Unconditional Actions: USD 17.850 Million | Sectoral Conditional Actions: Study impacts of sedimentation and siltation rates on coastal process."Sectoral Conditional Actions: Construct sea level protection structure; Revise building codes to promote retreat from flood plains and coastal zones. | Estimated Cost for Sectoral Conditional Actions: USD 10 Million; USD 1 Million"."Sectoral Conditional Actions: Construct flood protection barriers along major rivers. | Estimated Cost for Sectoral Conditional Actions: [Missing Cost]"."Sectoral Unconditional Actions: Disaster risk reduction/management to support agropastoral communities affected by recurrent droughts and other natural disasters in southern Angola and northern Namibia (Project PIRAN). | Implementing Agency for Sectoral Unconditional Actions: FAO | Funders for Sectoral Unconditional Actions: USAID/OFDA | Estimated Cost for Sectoral Unconditional Actions: USD 1.18 Million (First Year)". "Sectoral Unconditional Actions: Promoting climate-resilient development and enhanced adaptive capacity to withstand disaster risks in Angola's Cuvelai River Basin. | Implementing Agency for Sectoral Unconditional Actions: UNDP | Estimated Cost for Sectoral Unconditional Actions: USD 37.179 Million | Sectoral Conditional Actions: Create an Early warning system for flooding and storms; Climate monitoring and data management system."."Sectoral Conditional Actions: Study impact of climate change on mining | Estimated Cost for Sectoral Conditional Actions: USD 0.5 Million". "Sectoral Unconditional Actions: Promotion of Sustainable Charcoal in Angola through a Value Chain Approach. | Implementing Agency for Sectoral Unconditional Actions: UNDP | Estimated Cost for Sectoral Unconditional Actions: USD 17.884 Million"."Sectoral Target: Generate 5000 megawatts power from 2013 to 2017 | Sectoral Unconditional Actions: Construction of hydroelectric and thermal power plants (2013 - 2017); Extend electricity grid to rural areas. | Implementing Agency for Sectoral Unconditional Actions: Ministry of Energy and Water &amp; National Directorate of Renewable Energy | Estimated Cost for Sectoral Unconditional Actions: USD 5 Million". "Sectoral Conditional Actions: Study impact of climate change on hydroelectricity | Estimated Cost for Sectoral Conditional Actions: USD 1 Million"."Sectoral Target: Produce 100 megawatts of solar power to all rural areas by 2025 | Sectoral Unconditional Actions: The 'Solar Village' Programme. | Implementing Agency for Sectoral Unconditional Actions: Ministry of Energy and Water &amp; National Directorate of Renewable Energy | Estimated Cost for Sectoral Unconditional Actions: USD 150 Million (to 2025)"."Sectoral Conditional Actions: Study the implication of climate change on disease patterns for humans and livestock | Estimated Cost for Sectoral Conditional Actions: USD 1.5 Million"."Sectoral Conditional Actions: Ensure basic access to health services and health monitoring | Estimated Cost for Sectoral Conditional Actions: USD 3 Million"."Sectoral Conditional Actions: Soil erosion control through organic methods; Map areas of erosion risk; Promote alternative renewable energies to avoid deforestation. | Estimated Cost for Sectoral Conditional Actions: USD 4 Million; USD 1 Million; USD 3.5 Million"."Sectoral Conditional Actions: Improve design and construction of buildings | Estimated Cost for Sectoral Conditional Actions: USD 1 Million"."Sectoral Conditional Actions: Increase water availability through village-level wells and boreholes; Implement water resources integrated management; Improve knowledge of hydrology; Monitor groundwater. | Estimated Cost for Sectoral Conditional Actions: USD 5 Million; USD 3 Million; USD 2 Million; USD 3 Million"."Sectoral Conditional Actions: Extend water and sanitation network to rural areas | Estimated Cost for Sectoral Conditional Actions: USD 10 Million";.</v>
      </c>
      <c r="AJ18" s="1" t="s">
        <v>60</v>
      </c>
      <c r="AL18" s="1" t="s">
        <v>61</v>
      </c>
    </row>
    <row r="19" spans="1:38" s="10" customFormat="1" x14ac:dyDescent="0.35">
      <c r="A19" s="10" t="s">
        <v>57</v>
      </c>
      <c r="B19" s="10" t="s">
        <v>1029</v>
      </c>
      <c r="C19" s="10" t="s">
        <v>62</v>
      </c>
      <c r="D19" s="10">
        <v>50</v>
      </c>
      <c r="E19" s="10" t="s">
        <v>1100</v>
      </c>
      <c r="F19" s="10" t="s">
        <v>1101</v>
      </c>
      <c r="G19" s="10" t="s">
        <v>53</v>
      </c>
      <c r="H19" s="10" t="s">
        <v>1077</v>
      </c>
      <c r="L19" s="10">
        <v>50</v>
      </c>
      <c r="M19" s="1"/>
      <c r="N19" s="10">
        <v>35</v>
      </c>
      <c r="O19" s="56"/>
      <c r="P19" s="1">
        <v>15</v>
      </c>
      <c r="Q19" s="59"/>
      <c r="S19" s="10" t="s">
        <v>45</v>
      </c>
      <c r="U19" s="10">
        <v>2030</v>
      </c>
      <c r="V19" s="10">
        <v>1</v>
      </c>
      <c r="W19" s="10">
        <v>1</v>
      </c>
      <c r="X19" s="10" t="s">
        <v>32</v>
      </c>
      <c r="Y19" s="10" t="s">
        <v>32</v>
      </c>
      <c r="AB19" s="10">
        <v>0</v>
      </c>
      <c r="AF19" s="10" t="s">
        <v>1102</v>
      </c>
      <c r="AG19" s="10" t="str">
        <f>AF19</f>
        <v>"Based on the last GHG inventory, the selected sectors are defined according to the revised IPCC Guidelines 1996 and cover the entire territory."
Focused sectors: Power generation from renewable sources; and Reforestation.</v>
      </c>
      <c r="AJ19" s="10" t="s">
        <v>60</v>
      </c>
      <c r="AL19" s="10" t="s">
        <v>61</v>
      </c>
    </row>
    <row r="20" spans="1:38" s="10" customFormat="1" x14ac:dyDescent="0.35">
      <c r="A20" s="10" t="s">
        <v>57</v>
      </c>
      <c r="B20" s="10" t="s">
        <v>1030</v>
      </c>
      <c r="C20" s="10" t="s">
        <v>63</v>
      </c>
      <c r="D20" s="10">
        <v>24</v>
      </c>
      <c r="E20" s="10" t="s">
        <v>1100</v>
      </c>
      <c r="F20" s="10" t="s">
        <v>1101</v>
      </c>
      <c r="G20" s="10" t="s">
        <v>64</v>
      </c>
      <c r="H20" s="10" t="s">
        <v>1077</v>
      </c>
      <c r="L20" s="10">
        <v>24</v>
      </c>
      <c r="M20" s="1"/>
      <c r="N20" s="10">
        <v>14</v>
      </c>
      <c r="O20" s="56"/>
      <c r="P20" s="1">
        <v>10</v>
      </c>
      <c r="Q20" s="59"/>
      <c r="S20" s="10" t="s">
        <v>45</v>
      </c>
      <c r="U20" s="10">
        <v>2025</v>
      </c>
      <c r="V20" s="10">
        <v>1</v>
      </c>
      <c r="W20" s="10">
        <v>1</v>
      </c>
      <c r="X20" s="10" t="s">
        <v>32</v>
      </c>
      <c r="Y20" s="10" t="s">
        <v>32</v>
      </c>
      <c r="AB20" s="10">
        <v>0</v>
      </c>
      <c r="AF20" s="10" t="s">
        <v>1103</v>
      </c>
      <c r="AG20" s="10" t="str">
        <f>AF20</f>
        <v>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v>
      </c>
      <c r="AJ20" s="10" t="s">
        <v>65</v>
      </c>
      <c r="AL20" s="10" t="s">
        <v>66</v>
      </c>
    </row>
    <row r="21" spans="1:38" s="1" customFormat="1" ht="15.5" hidden="1" x14ac:dyDescent="0.35">
      <c r="A21" s="1" t="s">
        <v>57</v>
      </c>
      <c r="B21" s="1" t="s">
        <v>1031</v>
      </c>
      <c r="C21" s="26"/>
      <c r="D21" s="26">
        <v>16</v>
      </c>
      <c r="E21" s="26"/>
      <c r="F21" s="26"/>
      <c r="G21" s="26"/>
      <c r="H21" s="2" t="s">
        <v>1077</v>
      </c>
      <c r="I21" s="10"/>
      <c r="J21" s="10"/>
      <c r="L21" s="1">
        <v>16</v>
      </c>
      <c r="N21" s="1">
        <v>5</v>
      </c>
      <c r="P21" s="1">
        <v>11</v>
      </c>
      <c r="S21" s="1" t="s">
        <v>30</v>
      </c>
      <c r="U21" s="1">
        <v>2035</v>
      </c>
      <c r="V21" s="1">
        <v>1</v>
      </c>
      <c r="W21" s="1">
        <v>1</v>
      </c>
      <c r="AB21" s="1">
        <v>0</v>
      </c>
      <c r="AF21" s="16" t="s">
        <v>135</v>
      </c>
    </row>
    <row r="22" spans="1:38" s="2" customFormat="1" hidden="1" x14ac:dyDescent="0.35">
      <c r="A22" s="2" t="s">
        <v>67</v>
      </c>
      <c r="B22" s="2" t="s">
        <v>1028</v>
      </c>
      <c r="C22" s="26" t="s">
        <v>68</v>
      </c>
      <c r="D22" s="26"/>
      <c r="E22" s="26"/>
      <c r="F22" s="26"/>
      <c r="G22" s="26" t="s">
        <v>69</v>
      </c>
      <c r="H22" s="10"/>
      <c r="I22" s="10"/>
      <c r="J22" s="10"/>
      <c r="K22" s="1"/>
      <c r="M22" s="10"/>
      <c r="N22" s="3"/>
      <c r="P22" s="3"/>
      <c r="Q22" s="10"/>
      <c r="S22" s="1"/>
      <c r="T22" s="1"/>
      <c r="U22" s="1">
        <v>2030</v>
      </c>
      <c r="V22" s="1">
        <v>1</v>
      </c>
      <c r="W22" s="1">
        <v>1</v>
      </c>
      <c r="X22" s="1"/>
      <c r="Y22" s="1"/>
      <c r="Z22" s="1"/>
      <c r="AB22" s="2">
        <v>0</v>
      </c>
      <c r="AF22" s="2" t="s">
        <v>70</v>
      </c>
      <c r="AG22" s="2" t="str">
        <f>AF22</f>
        <v>Sectors addressed in the adaptation and mitigation targets include: Energy, Health, Tourism, Agriculture, Waste, Water, Transportation, Forestry and Land Use Change.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Mitigation contribution type - No GHG target - Non-GHG target: By 2030, achieve an energy matrix with 50 MW of electricity from renewable sources both on and off-grid in the public and private sectors. This target includes distributive renewable energy capacity to be used as backup energy by the commercial sector and some residences. The assumption is that the commercial sector has full backup capacity of approx. 20 MW to continue business when electricity via the grid may be interrupted. Backup electricity generation is currently fossil fuel-based."</v>
      </c>
    </row>
    <row r="23" spans="1:38" s="46" customFormat="1" x14ac:dyDescent="0.35">
      <c r="A23" s="46" t="s">
        <v>67</v>
      </c>
      <c r="B23" s="46" t="s">
        <v>1029</v>
      </c>
      <c r="C23" s="46" t="s">
        <v>40</v>
      </c>
      <c r="G23" s="46" t="s">
        <v>71</v>
      </c>
      <c r="J23" s="46">
        <v>1</v>
      </c>
      <c r="M23" s="51"/>
      <c r="O23" s="57"/>
      <c r="P23" s="51"/>
      <c r="Q23" s="60"/>
      <c r="U23" s="46">
        <v>2030</v>
      </c>
      <c r="V23" s="46">
        <v>1</v>
      </c>
      <c r="W23" s="46">
        <v>1</v>
      </c>
      <c r="AB23" s="46">
        <v>0</v>
      </c>
      <c r="AF23" s="46" t="s">
        <v>70</v>
      </c>
      <c r="AG23" s="46" t="str">
        <f>AF23</f>
        <v>Sectors addressed in the adaptation and mitigation targets include: Energy, Health, Tourism, Agriculture, Waste, Water, Transportation, Forestry and Land Use Change.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Mitigation contribution type - No GHG target - Non-GHG target: By 2030, achieve an energy matrix with 50 MW of electricity from renewable sources both on and off-grid in the public and private sectors. This target includes distributive renewable energy capacity to be used as backup energy by the commercial sector and some residences. The assumption is that the commercial sector has full backup capacity of approx. 20 MW to continue business when electricity via the grid may be interrupted. Backup electricity generation is currently fossil fuel-based."</v>
      </c>
    </row>
    <row r="24" spans="1:38" s="46" customFormat="1" ht="17" x14ac:dyDescent="0.35">
      <c r="A24" s="46" t="s">
        <v>67</v>
      </c>
      <c r="B24" s="46" t="s">
        <v>1030</v>
      </c>
      <c r="C24" s="47">
        <v>44236</v>
      </c>
      <c r="G24" s="46" t="s">
        <v>72</v>
      </c>
      <c r="J24" s="46">
        <v>1</v>
      </c>
      <c r="M24" s="51"/>
      <c r="O24" s="57"/>
      <c r="P24" s="51"/>
      <c r="Q24" s="60"/>
      <c r="U24" s="46">
        <v>2030</v>
      </c>
      <c r="V24" s="46">
        <v>1</v>
      </c>
      <c r="W24" s="46">
        <v>1</v>
      </c>
      <c r="AB24" s="46">
        <v>0</v>
      </c>
      <c r="AF24" s="46" t="s">
        <v>73</v>
      </c>
      <c r="AG24" s="46" t="str">
        <f>AF24</f>
        <v>Energy, Waste, AFOLU. For the energy sector, the two main targets are - 86% renewable energy generation from local resources in the electricity sector by 2030 and 100% of new vehicle sales to be electric vehicles by 2030. Mitigation contribution type No GHG target GHG target Not Applicable GHG target type Not Applicable Non-GHG target For the energy sector, the two main targets are - 86% renewable energy generation from local resources in the electricity sector by 2030 and 100% of new vehicle sales to be electric vehicles by 2030. 2030 target: 100 MW of renewable energy generation capacity available to the grid 2030 target: 50 MW of renewable energy generation capacity owned by farmers who can sell electricity to off-takers 2030 target: 100 MW of renewable energy generation capacity owned by social investment entities 2030 target: 20 MW of wind-powered energy generation 2030 target: 100% renewable energy generation for all government operations 2030 target: 100% of fixtures and appliances in government buildings will be energy efficient 2035 target: 100% of government vehicles will be electric vehicles 2030 target: 100% of the water supply infrastructure powered by their own grid-interactive renewable energy sources 2030 target: 100% education, health, food security, and emergency shelter facilities powered by their own grid-interactive renewable energy sources 2030 target: 100% of community and sports infrastructure and assets are climate resilient (to withstand at a minimum Category 4 tropical cyclones) and have adequate water harvesting and storage system 2030 target: 30,000 homes or 50% of pre-2020 homes to have back-up renewable energy systems for at least 4–6 hours of energy 2030 target: 100% of the affected parts of the national workforce are trained to use new mitigation technologies for a low greenhouse gas emissions transition 2030 target: 50% increase in the number of micro, small and medium enterprises (MSMEs) that provide energy services aligned with the objectives of the Paris Agreement (through the Sustainable Island Resources Framework Fund [SIRF Fund] and using the Entrepreneurial Development Programme [EDP] Fund) 2030 target: 50% reduction in the average annual preparation costs for hurricanes on single-parent households (Baseline average preparation costs hurricane: USD 2,000 per year or 20% of annual median income) 2030 target: 100% of community businesses and organizations that support women in their post-extreme weather event recovery are identified and provided with support for their efforts to facilitate women’s ability to resume work/livelihoods (and potentially return to their homes/communities) within seven (7) days after such an event 2030 target: 100% of female-headed households have all barriers removed to access back-up renewable energy generation and storage systems (i.e., 20,000 homes) 2030 target: 20% increase in the number of women-led businesses implementing renewable energy and adaptation interventions 2030 target: 25% increase in access to financing for businesses related to the transition to a low carbon, high resilient economy 2030 target: Provide apprenticeship programme for 100% of all students at secondary and tertiary institutions Target year (mitigation) 2030 Timeframe for implementation 2021-2030, with an indicative transport sector target for 2040 Adaptation included Yes Conditionality Conditional NDC and unconditional NDC Child Sensitivity Category of NDC Antigua and Barbuda's updated NDC child sensitivity is Category A.</v>
      </c>
      <c r="AL24" s="46" t="s">
        <v>74</v>
      </c>
    </row>
    <row r="25" spans="1:38" s="2" customFormat="1" hidden="1" x14ac:dyDescent="0.35">
      <c r="A25" s="2" t="s">
        <v>67</v>
      </c>
      <c r="B25" s="2" t="s">
        <v>1031</v>
      </c>
      <c r="C25" s="26"/>
      <c r="D25" s="26"/>
      <c r="E25" s="26"/>
      <c r="F25" s="26"/>
      <c r="G25" s="26"/>
      <c r="H25" s="10"/>
      <c r="I25" s="10"/>
      <c r="J25" s="10"/>
      <c r="K25" s="1"/>
      <c r="M25" s="10"/>
      <c r="N25" s="3"/>
      <c r="P25" s="3"/>
      <c r="Q25" s="10"/>
      <c r="S25" s="1"/>
      <c r="T25" s="1"/>
      <c r="U25" s="1"/>
      <c r="V25" s="1"/>
      <c r="W25" s="1"/>
      <c r="X25" s="1"/>
      <c r="Y25" s="1"/>
      <c r="Z25" s="1"/>
    </row>
    <row r="26" spans="1:38" s="2" customFormat="1" hidden="1" x14ac:dyDescent="0.35">
      <c r="A26" s="2" t="s">
        <v>75</v>
      </c>
      <c r="B26" s="2" t="s">
        <v>1028</v>
      </c>
      <c r="C26" s="26">
        <v>42014</v>
      </c>
      <c r="D26" s="26">
        <v>30</v>
      </c>
      <c r="E26" s="26"/>
      <c r="F26" s="26"/>
      <c r="G26" s="26"/>
      <c r="H26" s="2" t="s">
        <v>1077</v>
      </c>
      <c r="I26" s="10"/>
      <c r="J26" s="10"/>
      <c r="K26" s="1"/>
      <c r="L26" s="2">
        <v>30</v>
      </c>
      <c r="M26" s="10"/>
      <c r="N26" s="3">
        <v>15</v>
      </c>
      <c r="P26" s="3">
        <v>15</v>
      </c>
      <c r="Q26" s="10"/>
      <c r="S26" s="1" t="s">
        <v>45</v>
      </c>
      <c r="T26" s="1"/>
      <c r="U26" s="1">
        <v>2030</v>
      </c>
      <c r="V26" s="1">
        <v>1</v>
      </c>
      <c r="W26" s="1">
        <v>1</v>
      </c>
      <c r="X26" s="1" t="s">
        <v>32</v>
      </c>
      <c r="Y26" s="1" t="s">
        <v>32</v>
      </c>
      <c r="Z26" s="1"/>
      <c r="AB26" s="2">
        <v>0</v>
      </c>
      <c r="AF26" s="2" t="s">
        <v>76</v>
      </c>
      <c r="AG26" s="2" t="str">
        <f>AF26</f>
        <v>Energy; Agriculture; Waste; Industrial Processes; Land use change and forestry. The improvement in decision making on crop management.The increase in irrigated crop area and improvement in water resource management;The implementation of structural and non structural measures to face extreme events;The intensification and increase in Early warning systems for intense rains, floods, heat waves, and systems for response o and recovery from climate disasters;The promotion of biodiversity conservation and Adaptation based on Ecosystems.The enrichment, conservation, restoration, improvement, and sustainable management of native forests;The reduction in vulnerability and strengthening of processes in health management related to the direct and indirect impact of climate change</v>
      </c>
    </row>
    <row r="27" spans="1:38" s="10" customFormat="1" x14ac:dyDescent="0.35">
      <c r="A27" s="10" t="s">
        <v>75</v>
      </c>
      <c r="B27" s="10" t="s">
        <v>1029</v>
      </c>
      <c r="C27" s="10" t="s">
        <v>77</v>
      </c>
      <c r="E27" s="10" t="s">
        <v>1104</v>
      </c>
      <c r="F27" s="10" t="s">
        <v>1105</v>
      </c>
      <c r="G27" s="10" t="s">
        <v>1106</v>
      </c>
      <c r="H27" s="10" t="s">
        <v>1077</v>
      </c>
      <c r="M27" s="1">
        <v>483000</v>
      </c>
      <c r="O27" s="56">
        <v>483000</v>
      </c>
      <c r="P27" s="1"/>
      <c r="Q27" s="59">
        <v>369000</v>
      </c>
      <c r="S27" s="10" t="s">
        <v>45</v>
      </c>
      <c r="U27" s="10">
        <v>2030</v>
      </c>
      <c r="V27" s="10">
        <v>1</v>
      </c>
      <c r="W27" s="10">
        <v>1</v>
      </c>
      <c r="X27" s="10" t="s">
        <v>78</v>
      </c>
      <c r="Y27" s="10" t="s">
        <v>78</v>
      </c>
      <c r="Z27" s="10" t="s">
        <v>1073</v>
      </c>
      <c r="AB27" s="10">
        <v>0</v>
      </c>
      <c r="AF27" s="22" t="s">
        <v>1108</v>
      </c>
      <c r="AG27" s="10" t="str">
        <f>AF27</f>
        <v>Energy, industrial processes, agriculture, cattle, land use change, silviculture and waste</v>
      </c>
      <c r="AL27" s="10" t="s">
        <v>79</v>
      </c>
    </row>
    <row r="28" spans="1:38" s="10" customFormat="1" ht="17" x14ac:dyDescent="0.35">
      <c r="A28" s="10" t="s">
        <v>75</v>
      </c>
      <c r="B28" s="10" t="s">
        <v>1030</v>
      </c>
      <c r="C28" s="33">
        <v>44238</v>
      </c>
      <c r="E28" s="10" t="s">
        <v>1104</v>
      </c>
      <c r="F28" s="10" t="s">
        <v>1091</v>
      </c>
      <c r="G28" s="10" t="s">
        <v>89</v>
      </c>
      <c r="H28" s="10" t="s">
        <v>1077</v>
      </c>
      <c r="M28" s="1">
        <v>349000</v>
      </c>
      <c r="O28" s="56">
        <v>349000</v>
      </c>
      <c r="P28" s="1"/>
      <c r="Q28" s="59"/>
      <c r="S28" s="10" t="s">
        <v>45</v>
      </c>
      <c r="U28" s="10">
        <v>2030</v>
      </c>
      <c r="V28" s="10">
        <v>0</v>
      </c>
      <c r="W28" s="10">
        <v>1</v>
      </c>
      <c r="X28" s="10" t="s">
        <v>78</v>
      </c>
      <c r="Y28" s="10" t="s">
        <v>78</v>
      </c>
      <c r="Z28" s="10" t="s">
        <v>1073</v>
      </c>
      <c r="AB28" s="10">
        <v>0</v>
      </c>
      <c r="AF28" s="22" t="s">
        <v>1107</v>
      </c>
      <c r="AG28" s="10" t="str">
        <f>AF28</f>
        <v>All sectors</v>
      </c>
      <c r="AJ28" s="10" t="s">
        <v>80</v>
      </c>
      <c r="AL28" s="10" t="s">
        <v>81</v>
      </c>
    </row>
    <row r="29" spans="1:38" s="2" customFormat="1" hidden="1" x14ac:dyDescent="0.35">
      <c r="A29" s="2" t="s">
        <v>75</v>
      </c>
      <c r="B29" s="2" t="s">
        <v>1031</v>
      </c>
      <c r="C29" s="26"/>
      <c r="D29" s="26"/>
      <c r="E29" s="26"/>
      <c r="F29" s="26"/>
      <c r="G29" s="26"/>
      <c r="H29" s="10"/>
      <c r="I29" s="10"/>
      <c r="J29" s="10"/>
      <c r="K29" s="1"/>
      <c r="M29" s="10"/>
      <c r="N29" s="3"/>
      <c r="P29" s="3"/>
      <c r="Q29" s="10"/>
      <c r="S29" s="1"/>
      <c r="T29" s="1"/>
      <c r="U29" s="1"/>
      <c r="V29" s="1"/>
      <c r="W29" s="1"/>
      <c r="X29" s="1"/>
      <c r="Y29" s="1"/>
      <c r="Z29" s="1"/>
    </row>
    <row r="30" spans="1:38" s="2" customFormat="1" hidden="1" x14ac:dyDescent="0.35">
      <c r="A30" s="2" t="s">
        <v>82</v>
      </c>
      <c r="B30" s="2" t="s">
        <v>1028</v>
      </c>
      <c r="C30" s="26" t="s">
        <v>83</v>
      </c>
      <c r="D30" s="26"/>
      <c r="E30" s="26"/>
      <c r="F30" s="26"/>
      <c r="G30" s="26" t="s">
        <v>84</v>
      </c>
      <c r="H30" s="2" t="s">
        <v>1076</v>
      </c>
      <c r="I30" s="10"/>
      <c r="J30" s="10"/>
      <c r="K30" s="1"/>
      <c r="M30" s="10">
        <v>633</v>
      </c>
      <c r="Q30" s="10">
        <v>633</v>
      </c>
      <c r="S30" s="1"/>
      <c r="T30" s="1"/>
      <c r="U30" s="1">
        <v>2050</v>
      </c>
      <c r="V30" s="1">
        <v>1</v>
      </c>
      <c r="W30" s="1">
        <v>1</v>
      </c>
      <c r="X30" s="1" t="s">
        <v>78</v>
      </c>
      <c r="Y30" s="1" t="s">
        <v>78</v>
      </c>
      <c r="Z30" s="1" t="s">
        <v>1073</v>
      </c>
      <c r="AB30" s="2">
        <v>1</v>
      </c>
      <c r="AC30" s="2">
        <v>2050</v>
      </c>
      <c r="AE30" s="2" t="s">
        <v>85</v>
      </c>
      <c r="AF30" s="2" t="s">
        <v>86</v>
      </c>
      <c r="AL30" s="2" t="s">
        <v>87</v>
      </c>
    </row>
    <row r="31" spans="1:38" s="10" customFormat="1" x14ac:dyDescent="0.35">
      <c r="A31" s="10" t="s">
        <v>82</v>
      </c>
      <c r="B31" s="10" t="s">
        <v>1029</v>
      </c>
      <c r="C31" s="10" t="s">
        <v>88</v>
      </c>
      <c r="E31" s="10" t="s">
        <v>1104</v>
      </c>
      <c r="F31" s="10" t="s">
        <v>1097</v>
      </c>
      <c r="G31" s="10" t="s">
        <v>157</v>
      </c>
      <c r="H31" s="10" t="s">
        <v>1076</v>
      </c>
      <c r="M31" s="1">
        <v>633000</v>
      </c>
      <c r="O31" s="56"/>
      <c r="P31" s="1"/>
      <c r="Q31" s="59">
        <v>633000</v>
      </c>
      <c r="U31" s="10">
        <v>2030</v>
      </c>
      <c r="V31" s="10">
        <v>1</v>
      </c>
      <c r="W31" s="10">
        <v>1</v>
      </c>
      <c r="X31" s="10" t="s">
        <v>78</v>
      </c>
      <c r="Y31" s="10" t="s">
        <v>78</v>
      </c>
      <c r="Z31" s="10" t="s">
        <v>1073</v>
      </c>
      <c r="AB31" s="10">
        <v>1</v>
      </c>
      <c r="AC31" s="10">
        <v>2050</v>
      </c>
      <c r="AE31" s="10" t="s">
        <v>85</v>
      </c>
      <c r="AF31" s="10" t="s">
        <v>86</v>
      </c>
    </row>
    <row r="32" spans="1:38" s="10" customFormat="1" ht="17" x14ac:dyDescent="0.35">
      <c r="A32" s="10" t="s">
        <v>82</v>
      </c>
      <c r="B32" s="10" t="s">
        <v>1030</v>
      </c>
      <c r="C32" s="33">
        <v>44321</v>
      </c>
      <c r="D32" s="10">
        <v>40</v>
      </c>
      <c r="E32" t="s">
        <v>1097</v>
      </c>
      <c r="F32" s="10" t="s">
        <v>1097</v>
      </c>
      <c r="G32" s="10" t="s">
        <v>89</v>
      </c>
      <c r="H32" s="10" t="s">
        <v>1097</v>
      </c>
      <c r="L32" s="10">
        <v>40</v>
      </c>
      <c r="M32" s="1"/>
      <c r="O32" s="56"/>
      <c r="P32" s="1">
        <v>40</v>
      </c>
      <c r="Q32" s="59"/>
      <c r="T32" s="10">
        <v>1990</v>
      </c>
      <c r="U32" s="10">
        <v>2030</v>
      </c>
      <c r="V32" s="10">
        <v>1</v>
      </c>
      <c r="W32" s="10">
        <v>1</v>
      </c>
      <c r="X32" s="10" t="s">
        <v>51</v>
      </c>
      <c r="Y32" s="10" t="s">
        <v>51</v>
      </c>
      <c r="AB32" s="10">
        <v>1</v>
      </c>
      <c r="AC32" s="10">
        <v>2050</v>
      </c>
      <c r="AE32" s="10" t="s">
        <v>85</v>
      </c>
      <c r="AF32" s="22" t="s">
        <v>1109</v>
      </c>
      <c r="AG32" s="10" t="s">
        <v>90</v>
      </c>
    </row>
    <row r="33" spans="1:38" s="2" customFormat="1" hidden="1" x14ac:dyDescent="0.35">
      <c r="A33" s="2" t="s">
        <v>82</v>
      </c>
      <c r="B33" s="2" t="s">
        <v>1031</v>
      </c>
      <c r="C33" s="26"/>
      <c r="D33" s="26">
        <v>52</v>
      </c>
      <c r="E33" s="26"/>
      <c r="F33" s="26"/>
      <c r="G33" s="26"/>
      <c r="H33" s="2" t="s">
        <v>1077</v>
      </c>
      <c r="I33" s="10"/>
      <c r="J33" s="10"/>
      <c r="K33" s="1"/>
      <c r="L33" s="2">
        <v>52</v>
      </c>
      <c r="M33" s="10"/>
      <c r="N33" s="2">
        <v>44</v>
      </c>
      <c r="P33" s="2">
        <v>8</v>
      </c>
      <c r="Q33" s="10"/>
      <c r="S33" s="1"/>
      <c r="T33" s="1">
        <v>1990</v>
      </c>
      <c r="U33" s="1">
        <v>2035</v>
      </c>
      <c r="V33" s="1">
        <v>1</v>
      </c>
      <c r="W33" s="1">
        <v>1</v>
      </c>
      <c r="X33" s="15" t="s">
        <v>51</v>
      </c>
      <c r="Y33" s="1" t="s">
        <v>51</v>
      </c>
      <c r="Z33" s="1"/>
      <c r="AB33" s="2">
        <v>0</v>
      </c>
    </row>
    <row r="34" spans="1:38" s="2" customFormat="1" hidden="1" x14ac:dyDescent="0.35">
      <c r="A34" s="2" t="s">
        <v>91</v>
      </c>
      <c r="B34" s="2" t="s">
        <v>1028</v>
      </c>
      <c r="C34" s="26">
        <v>42316</v>
      </c>
      <c r="D34" s="26">
        <v>27</v>
      </c>
      <c r="E34" s="26"/>
      <c r="F34" s="26"/>
      <c r="G34" s="26" t="s">
        <v>89</v>
      </c>
      <c r="H34" s="2" t="s">
        <v>1078</v>
      </c>
      <c r="I34" s="10"/>
      <c r="J34" s="10"/>
      <c r="K34" s="1"/>
      <c r="L34" s="2">
        <v>27</v>
      </c>
      <c r="M34" s="10"/>
      <c r="N34" s="2">
        <v>27</v>
      </c>
      <c r="Q34" s="10"/>
      <c r="S34" s="1"/>
      <c r="T34" s="1">
        <v>2005</v>
      </c>
      <c r="U34" s="1">
        <v>2030</v>
      </c>
      <c r="V34" s="1">
        <v>0</v>
      </c>
      <c r="W34" s="1">
        <v>1</v>
      </c>
      <c r="X34" s="1" t="s">
        <v>51</v>
      </c>
      <c r="Y34" s="1" t="s">
        <v>51</v>
      </c>
      <c r="Z34" s="1"/>
      <c r="AB34" s="2">
        <v>0</v>
      </c>
      <c r="AF34" s="2" t="s">
        <v>92</v>
      </c>
    </row>
    <row r="35" spans="1:38" s="10" customFormat="1" ht="17" x14ac:dyDescent="0.35">
      <c r="A35" s="10" t="s">
        <v>91</v>
      </c>
      <c r="B35" s="10" t="s">
        <v>1029</v>
      </c>
      <c r="C35" s="33">
        <v>42624</v>
      </c>
      <c r="D35" s="10">
        <v>27</v>
      </c>
      <c r="E35" s="10" t="s">
        <v>1091</v>
      </c>
      <c r="F35" s="10" t="s">
        <v>1091</v>
      </c>
      <c r="G35" s="10" t="s">
        <v>89</v>
      </c>
      <c r="H35" s="10" t="s">
        <v>1078</v>
      </c>
      <c r="L35" s="10">
        <v>27</v>
      </c>
      <c r="M35" s="1"/>
      <c r="N35" s="10">
        <v>27</v>
      </c>
      <c r="O35" s="56"/>
      <c r="P35" s="1"/>
      <c r="Q35" s="59"/>
      <c r="T35" s="10">
        <v>2005</v>
      </c>
      <c r="U35" s="10">
        <v>2030</v>
      </c>
      <c r="V35" s="10">
        <v>0</v>
      </c>
      <c r="W35" s="10">
        <v>1</v>
      </c>
      <c r="X35" s="10" t="s">
        <v>51</v>
      </c>
      <c r="Y35" s="10" t="s">
        <v>51</v>
      </c>
      <c r="AB35" s="10">
        <v>0</v>
      </c>
      <c r="AF35" s="10" t="s">
        <v>1110</v>
      </c>
      <c r="AL35" s="10" t="s">
        <v>93</v>
      </c>
    </row>
    <row r="36" spans="1:38" s="10" customFormat="1" x14ac:dyDescent="0.35">
      <c r="A36" s="10" t="s">
        <v>91</v>
      </c>
      <c r="B36" s="10" t="s">
        <v>1030</v>
      </c>
      <c r="C36" s="10" t="s">
        <v>94</v>
      </c>
      <c r="D36" s="10">
        <v>43</v>
      </c>
      <c r="E36" s="10" t="s">
        <v>1091</v>
      </c>
      <c r="F36" s="10" t="s">
        <v>1091</v>
      </c>
      <c r="G36" s="10" t="s">
        <v>89</v>
      </c>
      <c r="H36" s="10" t="s">
        <v>1078</v>
      </c>
      <c r="L36" s="10">
        <v>43</v>
      </c>
      <c r="M36" s="1"/>
      <c r="N36" s="10">
        <v>43</v>
      </c>
      <c r="O36" s="56"/>
      <c r="P36" s="1"/>
      <c r="Q36" s="59"/>
      <c r="T36" s="10">
        <v>2005</v>
      </c>
      <c r="U36" s="10">
        <v>2030</v>
      </c>
      <c r="V36" s="10">
        <v>0</v>
      </c>
      <c r="W36" s="10">
        <v>1</v>
      </c>
      <c r="X36" s="10" t="s">
        <v>51</v>
      </c>
      <c r="Y36" s="10" t="s">
        <v>51</v>
      </c>
      <c r="AB36" s="10">
        <v>1</v>
      </c>
      <c r="AC36" s="10">
        <v>2050</v>
      </c>
      <c r="AF36" s="10" t="s">
        <v>95</v>
      </c>
      <c r="AG36" s="10" t="s">
        <v>96</v>
      </c>
      <c r="AH36" s="10" t="s">
        <v>97</v>
      </c>
    </row>
    <row r="37" spans="1:38" s="2" customFormat="1" hidden="1" x14ac:dyDescent="0.35">
      <c r="A37" s="2" t="s">
        <v>91</v>
      </c>
      <c r="B37" s="2" t="s">
        <v>1031</v>
      </c>
      <c r="C37" s="26"/>
      <c r="D37" s="26">
        <v>66</v>
      </c>
      <c r="E37" s="26"/>
      <c r="F37" s="26"/>
      <c r="G37" s="26"/>
      <c r="H37" s="2" t="s">
        <v>1078</v>
      </c>
      <c r="I37" s="10"/>
      <c r="J37" s="10"/>
      <c r="K37" s="1"/>
      <c r="L37" s="2">
        <v>66</v>
      </c>
      <c r="M37" s="10"/>
      <c r="N37" s="2">
        <v>66</v>
      </c>
      <c r="Q37" s="10"/>
      <c r="S37" s="1"/>
      <c r="T37" s="1">
        <v>2005</v>
      </c>
      <c r="U37" s="1">
        <v>2035</v>
      </c>
      <c r="V37" s="1">
        <v>0</v>
      </c>
      <c r="W37" s="1">
        <v>0</v>
      </c>
      <c r="X37" s="1" t="s">
        <v>51</v>
      </c>
      <c r="Y37" s="1" t="s">
        <v>51</v>
      </c>
      <c r="Z37" s="1"/>
      <c r="AB37" s="2">
        <v>0</v>
      </c>
    </row>
    <row r="38" spans="1:38" s="2" customFormat="1" hidden="1" x14ac:dyDescent="0.35">
      <c r="A38" s="2" t="s">
        <v>98</v>
      </c>
      <c r="B38" s="2" t="s">
        <v>1028</v>
      </c>
      <c r="C38" s="26"/>
      <c r="D38" s="26"/>
      <c r="E38" s="26"/>
      <c r="F38" s="26"/>
      <c r="G38" s="26"/>
      <c r="H38" s="10"/>
      <c r="I38" s="10"/>
      <c r="J38" s="10"/>
      <c r="K38" s="1"/>
      <c r="M38" s="10"/>
      <c r="Q38" s="10"/>
      <c r="S38" s="1"/>
      <c r="T38" s="1"/>
      <c r="U38" s="1"/>
      <c r="V38" s="1"/>
      <c r="W38" s="1"/>
      <c r="X38" s="1"/>
      <c r="Y38" s="1"/>
      <c r="Z38" s="1"/>
    </row>
    <row r="39" spans="1:38" s="10" customFormat="1" x14ac:dyDescent="0.35">
      <c r="A39" s="10" t="s">
        <v>98</v>
      </c>
      <c r="B39" s="10" t="s">
        <v>1029</v>
      </c>
      <c r="C39" s="10" t="s">
        <v>99</v>
      </c>
      <c r="D39" s="10">
        <v>40</v>
      </c>
      <c r="E39" s="10" t="s">
        <v>1091</v>
      </c>
      <c r="F39" s="10" t="s">
        <v>1091</v>
      </c>
      <c r="G39" s="10" t="s">
        <v>89</v>
      </c>
      <c r="H39" s="10" t="s">
        <v>1078</v>
      </c>
      <c r="L39" s="10">
        <v>40</v>
      </c>
      <c r="M39" s="1"/>
      <c r="N39" s="10">
        <v>40</v>
      </c>
      <c r="O39" s="56"/>
      <c r="P39" s="1"/>
      <c r="Q39" s="59"/>
      <c r="T39" s="10">
        <v>1990</v>
      </c>
      <c r="U39" s="10">
        <v>2030</v>
      </c>
      <c r="V39" s="10">
        <v>0</v>
      </c>
      <c r="W39" s="10">
        <v>0</v>
      </c>
      <c r="X39" s="10" t="s">
        <v>51</v>
      </c>
      <c r="Y39" s="10" t="s">
        <v>51</v>
      </c>
      <c r="AB39" s="10">
        <v>0</v>
      </c>
      <c r="AF39" s="10" t="s">
        <v>100</v>
      </c>
      <c r="AL39" s="10" t="s">
        <v>101</v>
      </c>
    </row>
    <row r="40" spans="1:38" s="10" customFormat="1" x14ac:dyDescent="0.35">
      <c r="A40" s="10" t="s">
        <v>98</v>
      </c>
      <c r="B40" s="10" t="s">
        <v>1030</v>
      </c>
      <c r="C40" s="10" t="s">
        <v>102</v>
      </c>
      <c r="D40" s="10">
        <v>55</v>
      </c>
      <c r="E40" s="10" t="s">
        <v>1091</v>
      </c>
      <c r="F40" s="10" t="s">
        <v>1091</v>
      </c>
      <c r="G40" s="10" t="s">
        <v>89</v>
      </c>
      <c r="H40" s="10" t="s">
        <v>1078</v>
      </c>
      <c r="L40" s="10">
        <v>55</v>
      </c>
      <c r="M40" s="1"/>
      <c r="N40" s="10">
        <v>55</v>
      </c>
      <c r="O40" s="56"/>
      <c r="P40" s="1"/>
      <c r="Q40" s="59"/>
      <c r="T40" s="10">
        <v>1990</v>
      </c>
      <c r="U40" s="10">
        <v>2030</v>
      </c>
      <c r="V40" s="10">
        <v>0</v>
      </c>
      <c r="W40" s="10">
        <v>0</v>
      </c>
      <c r="X40" s="10" t="s">
        <v>51</v>
      </c>
      <c r="Y40" s="10" t="s">
        <v>51</v>
      </c>
      <c r="AB40" s="10">
        <v>0</v>
      </c>
      <c r="AF40" s="10" t="s">
        <v>103</v>
      </c>
      <c r="AL40" s="10" t="s">
        <v>104</v>
      </c>
    </row>
    <row r="41" spans="1:38" s="2" customFormat="1" hidden="1" x14ac:dyDescent="0.35">
      <c r="A41" s="2" t="s">
        <v>98</v>
      </c>
      <c r="B41" s="2" t="s">
        <v>1031</v>
      </c>
      <c r="C41" s="26"/>
      <c r="D41" s="26"/>
      <c r="E41" s="26"/>
      <c r="F41" s="26"/>
      <c r="G41" s="26"/>
      <c r="H41" s="10"/>
      <c r="I41" s="10"/>
      <c r="J41" s="10"/>
      <c r="K41" s="1"/>
      <c r="M41" s="10"/>
      <c r="Q41" s="10"/>
      <c r="S41" s="1"/>
      <c r="T41" s="1"/>
      <c r="U41" s="1"/>
      <c r="V41" s="1"/>
      <c r="W41" s="1"/>
      <c r="X41" s="1"/>
      <c r="Y41" s="1"/>
      <c r="Z41" s="1"/>
    </row>
    <row r="42" spans="1:38" s="2" customFormat="1" hidden="1" x14ac:dyDescent="0.35">
      <c r="A42" s="2" t="s">
        <v>105</v>
      </c>
      <c r="B42" s="2" t="s">
        <v>1028</v>
      </c>
      <c r="C42" s="26" t="s">
        <v>83</v>
      </c>
      <c r="D42" s="26">
        <v>35</v>
      </c>
      <c r="E42" s="26"/>
      <c r="F42" s="26"/>
      <c r="G42" s="26"/>
      <c r="H42" s="2" t="s">
        <v>1078</v>
      </c>
      <c r="I42" s="10"/>
      <c r="J42" s="10"/>
      <c r="K42" s="1"/>
      <c r="L42" s="2">
        <v>35</v>
      </c>
      <c r="M42" s="10"/>
      <c r="N42" s="2">
        <v>35</v>
      </c>
      <c r="Q42" s="10"/>
      <c r="S42" s="1"/>
      <c r="T42" s="1">
        <v>1990</v>
      </c>
      <c r="U42" s="1">
        <v>2030</v>
      </c>
      <c r="V42" s="1">
        <v>0</v>
      </c>
      <c r="W42" s="1">
        <v>1</v>
      </c>
      <c r="X42" s="1" t="s">
        <v>51</v>
      </c>
      <c r="Y42" s="1" t="s">
        <v>51</v>
      </c>
      <c r="Z42" s="1"/>
      <c r="AB42" s="2">
        <v>0</v>
      </c>
      <c r="AF42" s="2" t="s">
        <v>106</v>
      </c>
      <c r="AG42" s="2" t="s">
        <v>107</v>
      </c>
    </row>
    <row r="43" spans="1:38" s="10" customFormat="1" ht="17" x14ac:dyDescent="0.35">
      <c r="A43" s="10" t="s">
        <v>105</v>
      </c>
      <c r="B43" s="10" t="s">
        <v>1029</v>
      </c>
      <c r="C43" s="33">
        <v>42979</v>
      </c>
      <c r="D43" s="10">
        <v>35</v>
      </c>
      <c r="E43" s="10" t="s">
        <v>1091</v>
      </c>
      <c r="F43" s="10" t="s">
        <v>1091</v>
      </c>
      <c r="G43" s="10" t="s">
        <v>1111</v>
      </c>
      <c r="H43" s="10" t="s">
        <v>1078</v>
      </c>
      <c r="L43" s="10">
        <v>35</v>
      </c>
      <c r="M43" s="1"/>
      <c r="N43" s="10">
        <v>35</v>
      </c>
      <c r="O43" s="56"/>
      <c r="P43" s="1"/>
      <c r="Q43" s="59"/>
      <c r="T43" s="10">
        <v>1990</v>
      </c>
      <c r="U43" s="10">
        <v>2030</v>
      </c>
      <c r="X43" s="10" t="s">
        <v>51</v>
      </c>
      <c r="Y43" s="10" t="s">
        <v>51</v>
      </c>
      <c r="AB43" s="10">
        <v>0</v>
      </c>
      <c r="AF43" s="10" t="s">
        <v>106</v>
      </c>
    </row>
    <row r="44" spans="1:38" s="10" customFormat="1" ht="17" x14ac:dyDescent="0.35">
      <c r="A44" s="10" t="s">
        <v>105</v>
      </c>
      <c r="B44" s="10" t="s">
        <v>1030</v>
      </c>
      <c r="C44" s="33">
        <v>45209</v>
      </c>
      <c r="D44" s="10">
        <v>40</v>
      </c>
      <c r="E44" s="10" t="s">
        <v>1097</v>
      </c>
      <c r="F44" s="10" t="s">
        <v>1097</v>
      </c>
      <c r="G44" s="10" t="s">
        <v>108</v>
      </c>
      <c r="H44" s="10" t="s">
        <v>1076</v>
      </c>
      <c r="L44" s="10">
        <v>40</v>
      </c>
      <c r="M44" s="1"/>
      <c r="O44" s="56"/>
      <c r="P44" s="1">
        <v>40</v>
      </c>
      <c r="Q44" s="59"/>
      <c r="T44" s="10">
        <v>1990</v>
      </c>
      <c r="U44" s="10">
        <v>2050</v>
      </c>
      <c r="V44" s="10">
        <v>1</v>
      </c>
      <c r="W44" s="10">
        <v>1</v>
      </c>
      <c r="X44" s="10" t="s">
        <v>51</v>
      </c>
      <c r="Y44" s="10" t="s">
        <v>51</v>
      </c>
      <c r="AB44" s="10">
        <v>0</v>
      </c>
      <c r="AF44" s="10" t="s">
        <v>109</v>
      </c>
      <c r="AG44" s="10" t="s">
        <v>110</v>
      </c>
    </row>
    <row r="45" spans="1:38" s="2" customFormat="1" hidden="1" x14ac:dyDescent="0.35">
      <c r="A45" s="2" t="s">
        <v>105</v>
      </c>
      <c r="B45" s="2" t="s">
        <v>1031</v>
      </c>
      <c r="C45" s="26"/>
      <c r="D45" s="26">
        <v>40</v>
      </c>
      <c r="E45" s="26"/>
      <c r="F45" s="26"/>
      <c r="G45" s="26"/>
      <c r="H45" s="2" t="s">
        <v>1076</v>
      </c>
      <c r="I45" s="10"/>
      <c r="J45" s="10"/>
      <c r="K45" s="1"/>
      <c r="L45" s="2">
        <v>40</v>
      </c>
      <c r="M45" s="10"/>
      <c r="P45" s="2">
        <v>40</v>
      </c>
      <c r="Q45" s="10"/>
      <c r="S45" s="1"/>
      <c r="T45" s="1">
        <v>1990</v>
      </c>
      <c r="U45" s="1">
        <v>2035</v>
      </c>
      <c r="V45" s="1">
        <v>1</v>
      </c>
      <c r="W45" s="1">
        <v>1</v>
      </c>
      <c r="X45" s="1" t="s">
        <v>51</v>
      </c>
      <c r="Y45" s="1" t="s">
        <v>51</v>
      </c>
      <c r="Z45" s="1"/>
      <c r="AB45" s="2">
        <v>0</v>
      </c>
    </row>
    <row r="46" spans="1:38" s="2" customFormat="1" hidden="1" x14ac:dyDescent="0.35">
      <c r="A46" s="2" t="s">
        <v>111</v>
      </c>
      <c r="B46" s="2" t="s">
        <v>1028</v>
      </c>
      <c r="C46" s="26" t="s">
        <v>112</v>
      </c>
      <c r="D46" s="26">
        <v>30</v>
      </c>
      <c r="E46" s="26"/>
      <c r="F46" s="26"/>
      <c r="G46" s="26" t="s">
        <v>113</v>
      </c>
      <c r="H46" s="2" t="s">
        <v>1078</v>
      </c>
      <c r="I46" s="10"/>
      <c r="J46" s="10"/>
      <c r="K46" s="1"/>
      <c r="L46" s="2">
        <v>30</v>
      </c>
      <c r="M46" s="10"/>
      <c r="N46" s="2">
        <v>30</v>
      </c>
      <c r="Q46" s="10"/>
      <c r="S46" s="1" t="s">
        <v>45</v>
      </c>
      <c r="T46" s="1"/>
      <c r="U46" s="1">
        <v>2030</v>
      </c>
      <c r="V46" s="1">
        <v>1</v>
      </c>
      <c r="W46" s="1">
        <v>1</v>
      </c>
      <c r="X46" s="1" t="s">
        <v>32</v>
      </c>
      <c r="Y46" s="1" t="s">
        <v>32</v>
      </c>
      <c r="Z46" s="1"/>
      <c r="AB46" s="2">
        <v>0</v>
      </c>
      <c r="AF46" s="2" t="s">
        <v>114</v>
      </c>
      <c r="AL46" s="2" t="s">
        <v>115</v>
      </c>
    </row>
    <row r="47" spans="1:38" s="1" customFormat="1" x14ac:dyDescent="0.35">
      <c r="A47" s="1" t="s">
        <v>111</v>
      </c>
      <c r="B47" s="1" t="s">
        <v>1029</v>
      </c>
      <c r="C47" s="1" t="s">
        <v>116</v>
      </c>
      <c r="D47" s="1">
        <v>30</v>
      </c>
      <c r="E47" s="1" t="s">
        <v>1097</v>
      </c>
      <c r="F47" s="1" t="s">
        <v>1097</v>
      </c>
      <c r="G47" s="1" t="s">
        <v>129</v>
      </c>
      <c r="H47" s="1" t="s">
        <v>1076</v>
      </c>
      <c r="L47" s="1">
        <v>30</v>
      </c>
      <c r="O47" s="56"/>
      <c r="P47" s="1">
        <v>30</v>
      </c>
      <c r="Q47" s="59"/>
      <c r="S47" s="1" t="s">
        <v>45</v>
      </c>
      <c r="U47" s="1">
        <v>2030</v>
      </c>
      <c r="V47" s="1">
        <v>1</v>
      </c>
      <c r="W47" s="1">
        <v>1</v>
      </c>
      <c r="X47" s="1" t="s">
        <v>32</v>
      </c>
      <c r="Y47" s="1" t="s">
        <v>32</v>
      </c>
      <c r="AB47" s="1">
        <v>0</v>
      </c>
      <c r="AF47" s="1" t="s">
        <v>1112</v>
      </c>
      <c r="AK47" s="1" t="s">
        <v>117</v>
      </c>
      <c r="AL47" s="1" t="s">
        <v>115</v>
      </c>
    </row>
    <row r="48" spans="1:38" s="1" customFormat="1" ht="17" x14ac:dyDescent="0.35">
      <c r="A48" s="1" t="s">
        <v>111</v>
      </c>
      <c r="B48" s="1" t="s">
        <v>1030</v>
      </c>
      <c r="C48" s="53">
        <v>44753</v>
      </c>
      <c r="D48" s="1">
        <v>30</v>
      </c>
      <c r="E48" s="1" t="s">
        <v>1097</v>
      </c>
      <c r="F48" s="1" t="s">
        <v>1097</v>
      </c>
      <c r="G48" s="1" t="s">
        <v>129</v>
      </c>
      <c r="H48" s="1" t="s">
        <v>1076</v>
      </c>
      <c r="L48" s="1">
        <v>30</v>
      </c>
      <c r="O48" s="56"/>
      <c r="P48" s="1">
        <v>30</v>
      </c>
      <c r="Q48" s="59"/>
      <c r="S48" s="1" t="s">
        <v>45</v>
      </c>
      <c r="T48" s="1">
        <v>2010</v>
      </c>
      <c r="U48" s="1">
        <v>2030</v>
      </c>
      <c r="V48" s="1">
        <v>1</v>
      </c>
      <c r="W48" s="1">
        <v>1</v>
      </c>
      <c r="X48" s="1" t="s">
        <v>32</v>
      </c>
      <c r="Y48" s="1" t="s">
        <v>32</v>
      </c>
      <c r="AB48" s="1">
        <v>1</v>
      </c>
      <c r="AF48" s="15" t="s">
        <v>118</v>
      </c>
      <c r="AG48" s="1" t="s">
        <v>119</v>
      </c>
      <c r="AH48" s="1" t="s">
        <v>120</v>
      </c>
    </row>
    <row r="49" spans="1:38" s="2" customFormat="1" hidden="1" x14ac:dyDescent="0.35">
      <c r="A49" s="2" t="s">
        <v>111</v>
      </c>
      <c r="B49" s="2" t="s">
        <v>1031</v>
      </c>
      <c r="C49" s="26"/>
      <c r="D49" s="26">
        <v>30</v>
      </c>
      <c r="E49" s="26"/>
      <c r="F49" s="26"/>
      <c r="G49" s="26"/>
      <c r="I49" s="10"/>
      <c r="J49" s="10"/>
      <c r="L49" s="2">
        <v>30</v>
      </c>
      <c r="AL49" s="2" t="s">
        <v>121</v>
      </c>
    </row>
    <row r="50" spans="1:38" s="2" customFormat="1" hidden="1" x14ac:dyDescent="0.35">
      <c r="A50" s="2" t="s">
        <v>122</v>
      </c>
      <c r="B50" s="2" t="s">
        <v>1028</v>
      </c>
      <c r="C50" s="26" t="s">
        <v>123</v>
      </c>
      <c r="D50" s="26"/>
      <c r="E50" s="26"/>
      <c r="F50" s="26"/>
      <c r="G50" s="26"/>
      <c r="I50" s="10"/>
      <c r="J50" s="10"/>
      <c r="AL50" s="2" t="s">
        <v>121</v>
      </c>
    </row>
    <row r="51" spans="1:38" s="46" customFormat="1" x14ac:dyDescent="0.35">
      <c r="A51" s="46" t="s">
        <v>122</v>
      </c>
      <c r="B51" s="46" t="s">
        <v>1029</v>
      </c>
      <c r="C51" s="46" t="s">
        <v>124</v>
      </c>
      <c r="I51" s="48" t="s">
        <v>1085</v>
      </c>
      <c r="J51" s="46">
        <v>1</v>
      </c>
      <c r="M51" s="51"/>
      <c r="O51" s="57"/>
      <c r="P51" s="51"/>
      <c r="Q51" s="60"/>
      <c r="AL51" s="46" t="s">
        <v>125</v>
      </c>
    </row>
    <row r="52" spans="1:38" s="46" customFormat="1" x14ac:dyDescent="0.35">
      <c r="A52" s="46" t="s">
        <v>122</v>
      </c>
      <c r="B52" s="46" t="s">
        <v>1030</v>
      </c>
      <c r="C52" s="46" t="s">
        <v>126</v>
      </c>
      <c r="I52" s="48" t="s">
        <v>1085</v>
      </c>
      <c r="J52" s="46">
        <v>1</v>
      </c>
      <c r="M52" s="51"/>
      <c r="O52" s="57"/>
      <c r="P52" s="51"/>
      <c r="Q52" s="60"/>
    </row>
    <row r="53" spans="1:38" s="2" customFormat="1" hidden="1" x14ac:dyDescent="0.35">
      <c r="A53" s="2" t="s">
        <v>122</v>
      </c>
      <c r="B53" s="2" t="s">
        <v>1031</v>
      </c>
      <c r="C53" s="26"/>
      <c r="D53" s="26"/>
      <c r="E53" s="26"/>
      <c r="F53" s="26"/>
      <c r="G53" s="26"/>
      <c r="H53" s="10"/>
      <c r="I53" s="10"/>
      <c r="J53" s="10"/>
      <c r="K53" s="1"/>
      <c r="M53" s="10"/>
      <c r="Q53" s="10"/>
      <c r="S53" s="1"/>
      <c r="T53" s="1"/>
      <c r="U53" s="1"/>
      <c r="V53" s="1"/>
      <c r="W53" s="1"/>
      <c r="X53" s="1"/>
      <c r="Y53" s="1"/>
      <c r="Z53" s="1"/>
    </row>
    <row r="54" spans="1:38" s="2" customFormat="1" hidden="1" x14ac:dyDescent="0.35">
      <c r="A54" s="2" t="s">
        <v>127</v>
      </c>
      <c r="B54" s="2" t="s">
        <v>1028</v>
      </c>
      <c r="C54" s="26" t="s">
        <v>128</v>
      </c>
      <c r="D54" s="26"/>
      <c r="E54" s="26"/>
      <c r="F54" s="26"/>
      <c r="G54" s="26" t="s">
        <v>129</v>
      </c>
      <c r="H54" s="10"/>
      <c r="I54" s="10"/>
      <c r="J54" s="10"/>
      <c r="K54" s="1"/>
      <c r="M54" s="10"/>
      <c r="Q54" s="10"/>
      <c r="S54" s="1" t="s">
        <v>45</v>
      </c>
      <c r="T54" s="1"/>
      <c r="U54" s="1">
        <v>2030</v>
      </c>
      <c r="V54" s="1">
        <v>1</v>
      </c>
      <c r="W54" s="1">
        <v>1</v>
      </c>
      <c r="X54" s="1" t="s">
        <v>32</v>
      </c>
      <c r="Y54" s="1" t="s">
        <v>32</v>
      </c>
      <c r="Z54" s="1"/>
      <c r="AB54" s="2">
        <v>0</v>
      </c>
      <c r="AF54" s="2" t="s">
        <v>130</v>
      </c>
      <c r="AG54" s="2" t="s">
        <v>131</v>
      </c>
    </row>
    <row r="55" spans="1:38" s="10" customFormat="1" x14ac:dyDescent="0.35">
      <c r="A55" s="10" t="s">
        <v>127</v>
      </c>
      <c r="B55" s="10" t="s">
        <v>1029</v>
      </c>
      <c r="C55" s="10" t="s">
        <v>40</v>
      </c>
      <c r="D55" s="10">
        <v>15</v>
      </c>
      <c r="E55" s="10" t="s">
        <v>1096</v>
      </c>
      <c r="F55" s="10" t="s">
        <v>1099</v>
      </c>
      <c r="G55" s="10" t="s">
        <v>129</v>
      </c>
      <c r="H55" s="10" t="s">
        <v>1077</v>
      </c>
      <c r="L55" s="10">
        <v>15</v>
      </c>
      <c r="M55" s="1"/>
      <c r="N55" s="10">
        <v>5</v>
      </c>
      <c r="O55" s="56"/>
      <c r="P55" s="1">
        <v>10</v>
      </c>
      <c r="Q55" s="59"/>
      <c r="S55" s="10" t="s">
        <v>45</v>
      </c>
      <c r="U55" s="10">
        <v>2030</v>
      </c>
      <c r="V55" s="10">
        <v>1</v>
      </c>
      <c r="W55" s="10">
        <v>1</v>
      </c>
      <c r="X55" s="10" t="s">
        <v>32</v>
      </c>
      <c r="Y55" s="10" t="s">
        <v>32</v>
      </c>
      <c r="AB55" s="10">
        <v>0</v>
      </c>
      <c r="AF55" s="10" t="s">
        <v>132</v>
      </c>
      <c r="AG55" s="10" t="s">
        <v>133</v>
      </c>
    </row>
    <row r="56" spans="1:38" s="10" customFormat="1" x14ac:dyDescent="0.35">
      <c r="A56" s="10" t="s">
        <v>127</v>
      </c>
      <c r="B56" s="10" t="s">
        <v>1030</v>
      </c>
      <c r="C56" s="10" t="s">
        <v>134</v>
      </c>
      <c r="D56" s="10">
        <v>21.85</v>
      </c>
      <c r="E56" s="10" t="s">
        <v>1100</v>
      </c>
      <c r="F56" s="10" t="s">
        <v>1101</v>
      </c>
      <c r="G56" s="10" t="s">
        <v>53</v>
      </c>
      <c r="H56" s="10" t="s">
        <v>1077</v>
      </c>
      <c r="L56" s="10">
        <v>21.85</v>
      </c>
      <c r="M56" s="1"/>
      <c r="N56" s="10">
        <v>6.73</v>
      </c>
      <c r="O56" s="56"/>
      <c r="P56" s="1">
        <v>15.12</v>
      </c>
      <c r="Q56" s="59"/>
      <c r="S56" s="10" t="s">
        <v>45</v>
      </c>
      <c r="U56" s="10">
        <v>2030</v>
      </c>
      <c r="V56" s="10">
        <v>1</v>
      </c>
      <c r="W56" s="10">
        <v>1</v>
      </c>
      <c r="X56" s="10" t="s">
        <v>32</v>
      </c>
      <c r="Y56" s="10" t="s">
        <v>32</v>
      </c>
      <c r="AB56" s="10">
        <v>0</v>
      </c>
      <c r="AF56" s="10" t="s">
        <v>135</v>
      </c>
      <c r="AG56" s="10" t="s">
        <v>136</v>
      </c>
      <c r="AJ56" s="10" t="s">
        <v>137</v>
      </c>
      <c r="AL56" s="10" t="s">
        <v>138</v>
      </c>
    </row>
    <row r="57" spans="1:38" s="2" customFormat="1" ht="17.5" hidden="1" x14ac:dyDescent="0.35">
      <c r="A57" s="2" t="s">
        <v>127</v>
      </c>
      <c r="B57" s="2" t="s">
        <v>1031</v>
      </c>
      <c r="C57" s="30" t="s">
        <v>1035</v>
      </c>
      <c r="D57" s="26">
        <v>26.7</v>
      </c>
      <c r="E57" s="26"/>
      <c r="F57" s="26"/>
      <c r="G57" s="26"/>
      <c r="H57" s="10" t="s">
        <v>1077</v>
      </c>
      <c r="I57" s="14"/>
      <c r="J57" s="14"/>
      <c r="K57" s="18"/>
      <c r="L57" s="2">
        <v>26.7</v>
      </c>
      <c r="M57" s="10"/>
      <c r="N57" s="4">
        <v>20.309999999999999</v>
      </c>
      <c r="P57" s="4">
        <v>6.39</v>
      </c>
      <c r="Q57" s="10"/>
      <c r="S57" s="1" t="s">
        <v>30</v>
      </c>
      <c r="T57" s="1"/>
      <c r="U57" s="1">
        <v>2035</v>
      </c>
      <c r="V57" s="1">
        <v>1</v>
      </c>
      <c r="W57" s="1">
        <v>1</v>
      </c>
      <c r="X57" s="1"/>
      <c r="Y57" s="1"/>
      <c r="Z57" s="1"/>
      <c r="AB57" s="2">
        <v>0</v>
      </c>
    </row>
    <row r="58" spans="1:38" s="2" customFormat="1" hidden="1" x14ac:dyDescent="0.35">
      <c r="A58" s="2" t="s">
        <v>139</v>
      </c>
      <c r="B58" s="2" t="s">
        <v>1028</v>
      </c>
      <c r="C58" s="26" t="s">
        <v>140</v>
      </c>
      <c r="D58" s="26">
        <v>23</v>
      </c>
      <c r="E58" s="26"/>
      <c r="F58" s="26"/>
      <c r="G58" s="26"/>
      <c r="H58" s="2" t="s">
        <v>1078</v>
      </c>
      <c r="I58" s="10"/>
      <c r="J58" s="10"/>
      <c r="K58" s="1"/>
      <c r="L58" s="2">
        <v>23</v>
      </c>
      <c r="M58" s="10"/>
      <c r="P58" s="2">
        <v>23</v>
      </c>
      <c r="Q58" s="10"/>
      <c r="R58" s="2">
        <v>21</v>
      </c>
      <c r="S58" s="1"/>
      <c r="T58" s="1">
        <v>2008</v>
      </c>
      <c r="U58" s="1">
        <v>2030</v>
      </c>
      <c r="V58" s="1">
        <v>1</v>
      </c>
      <c r="W58" s="1">
        <v>1</v>
      </c>
      <c r="X58" s="1" t="s">
        <v>51</v>
      </c>
      <c r="Y58" s="1" t="s">
        <v>51</v>
      </c>
      <c r="Z58" s="1"/>
      <c r="AA58" s="2">
        <v>2025</v>
      </c>
      <c r="AB58" s="2">
        <v>0</v>
      </c>
      <c r="AF58" s="2" t="s">
        <v>141</v>
      </c>
      <c r="AG58" s="2" t="s">
        <v>142</v>
      </c>
    </row>
    <row r="59" spans="1:38" s="10" customFormat="1" x14ac:dyDescent="0.35">
      <c r="A59" s="10" t="s">
        <v>139</v>
      </c>
      <c r="B59" s="10" t="s">
        <v>1029</v>
      </c>
      <c r="C59" s="10" t="s">
        <v>143</v>
      </c>
      <c r="D59" s="10">
        <v>23</v>
      </c>
      <c r="E59" s="10" t="s">
        <v>1097</v>
      </c>
      <c r="F59" s="10" t="s">
        <v>1097</v>
      </c>
      <c r="G59" s="10" t="s">
        <v>38</v>
      </c>
      <c r="H59" s="10" t="s">
        <v>1076</v>
      </c>
      <c r="L59" s="10">
        <v>23</v>
      </c>
      <c r="M59" s="1"/>
      <c r="O59" s="56"/>
      <c r="P59" s="1">
        <v>23</v>
      </c>
      <c r="Q59" s="59"/>
      <c r="R59" s="10">
        <v>21</v>
      </c>
      <c r="T59" s="10">
        <v>2008</v>
      </c>
      <c r="U59" s="10">
        <v>2030</v>
      </c>
      <c r="V59" s="10">
        <v>1</v>
      </c>
      <c r="W59" s="10">
        <v>1</v>
      </c>
      <c r="X59" s="10" t="s">
        <v>51</v>
      </c>
      <c r="Y59" s="10" t="s">
        <v>51</v>
      </c>
      <c r="AA59" s="10">
        <v>2025</v>
      </c>
      <c r="AB59" s="10">
        <v>0</v>
      </c>
      <c r="AF59" s="10" t="s">
        <v>1113</v>
      </c>
    </row>
    <row r="60" spans="1:38" s="10" customFormat="1" x14ac:dyDescent="0.35">
      <c r="A60" s="10" t="s">
        <v>139</v>
      </c>
      <c r="B60" s="10" t="s">
        <v>1030</v>
      </c>
      <c r="C60" s="10" t="s">
        <v>144</v>
      </c>
      <c r="D60" s="10">
        <v>70</v>
      </c>
      <c r="E60" s="10" t="s">
        <v>1096</v>
      </c>
      <c r="F60" s="10" t="s">
        <v>1099</v>
      </c>
      <c r="G60" s="10" t="s">
        <v>53</v>
      </c>
      <c r="H60" s="10" t="s">
        <v>1077</v>
      </c>
      <c r="L60" s="10">
        <v>70</v>
      </c>
      <c r="M60" s="1"/>
      <c r="N60" s="10">
        <v>35</v>
      </c>
      <c r="O60" s="56"/>
      <c r="P60" s="1">
        <v>40</v>
      </c>
      <c r="Q60" s="59"/>
      <c r="R60" s="10">
        <v>35</v>
      </c>
      <c r="S60" s="10" t="s">
        <v>45</v>
      </c>
      <c r="U60" s="10">
        <v>2030</v>
      </c>
      <c r="V60" s="10">
        <v>1</v>
      </c>
      <c r="W60" s="10">
        <v>1</v>
      </c>
      <c r="X60" s="10" t="s">
        <v>32</v>
      </c>
      <c r="Y60" s="10" t="s">
        <v>32</v>
      </c>
      <c r="AA60" s="10">
        <v>2025</v>
      </c>
      <c r="AB60" s="10">
        <v>0</v>
      </c>
      <c r="AF60" s="10" t="s">
        <v>145</v>
      </c>
      <c r="AG60" s="10" t="s">
        <v>146</v>
      </c>
    </row>
    <row r="61" spans="1:38" s="2" customFormat="1" ht="17" hidden="1" x14ac:dyDescent="0.35">
      <c r="A61" s="2" t="s">
        <v>139</v>
      </c>
      <c r="B61" s="2" t="s">
        <v>1031</v>
      </c>
      <c r="C61" s="30" t="s">
        <v>1036</v>
      </c>
      <c r="D61" s="26">
        <v>45</v>
      </c>
      <c r="E61" s="26"/>
      <c r="F61" s="26"/>
      <c r="G61" s="26"/>
      <c r="H61" s="2" t="s">
        <v>1078</v>
      </c>
      <c r="I61" s="14"/>
      <c r="J61" s="14"/>
      <c r="K61" s="18"/>
      <c r="L61" s="2">
        <v>45</v>
      </c>
      <c r="M61" s="10"/>
      <c r="P61" s="2">
        <v>45</v>
      </c>
      <c r="Q61" s="10"/>
      <c r="S61" s="1"/>
      <c r="T61" s="1">
        <v>2008</v>
      </c>
      <c r="U61" s="1">
        <v>2030</v>
      </c>
      <c r="V61" s="1">
        <v>1</v>
      </c>
      <c r="W61" s="1">
        <v>1</v>
      </c>
      <c r="X61" s="1" t="s">
        <v>51</v>
      </c>
      <c r="Y61" s="1" t="s">
        <v>51</v>
      </c>
      <c r="Z61" s="1"/>
      <c r="AB61" s="2">
        <v>0</v>
      </c>
    </row>
    <row r="62" spans="1:38" s="2" customFormat="1" hidden="1" x14ac:dyDescent="0.35">
      <c r="A62" s="2" t="s">
        <v>147</v>
      </c>
      <c r="B62" s="2" t="s">
        <v>1028</v>
      </c>
      <c r="C62" s="26" t="s">
        <v>148</v>
      </c>
      <c r="D62" s="26" t="s">
        <v>149</v>
      </c>
      <c r="E62" s="26"/>
      <c r="F62" s="26"/>
      <c r="G62" s="26" t="s">
        <v>53</v>
      </c>
      <c r="H62" s="2" t="s">
        <v>1078</v>
      </c>
      <c r="I62" s="10"/>
      <c r="J62" s="10"/>
      <c r="K62" s="1"/>
      <c r="L62" s="2" t="s">
        <v>149</v>
      </c>
      <c r="M62" s="10"/>
      <c r="N62" s="2" t="s">
        <v>149</v>
      </c>
      <c r="Q62" s="10"/>
      <c r="S62" s="1"/>
      <c r="T62" s="1">
        <v>1990</v>
      </c>
      <c r="U62" s="1">
        <v>2030</v>
      </c>
      <c r="V62" s="1">
        <v>0</v>
      </c>
      <c r="W62" s="1">
        <v>1</v>
      </c>
      <c r="X62" s="1" t="s">
        <v>51</v>
      </c>
      <c r="Y62" s="1" t="s">
        <v>51</v>
      </c>
      <c r="Z62" s="1"/>
      <c r="AB62" s="2">
        <v>0</v>
      </c>
      <c r="AF62" s="2" t="s">
        <v>150</v>
      </c>
    </row>
    <row r="63" spans="1:38" s="10" customFormat="1" x14ac:dyDescent="0.35">
      <c r="A63" s="10" t="s">
        <v>147</v>
      </c>
      <c r="B63" s="10" t="s">
        <v>1029</v>
      </c>
      <c r="C63" s="10" t="s">
        <v>40</v>
      </c>
      <c r="D63" s="34" t="s">
        <v>149</v>
      </c>
      <c r="E63" s="10" t="s">
        <v>1091</v>
      </c>
      <c r="F63" s="10" t="s">
        <v>1091</v>
      </c>
      <c r="G63" s="10" t="s">
        <v>53</v>
      </c>
      <c r="H63" s="10" t="s">
        <v>1078</v>
      </c>
      <c r="L63" s="10" t="s">
        <v>149</v>
      </c>
      <c r="M63" s="1"/>
      <c r="N63" s="10" t="s">
        <v>149</v>
      </c>
      <c r="O63" s="56"/>
      <c r="P63" s="1"/>
      <c r="Q63" s="59"/>
      <c r="T63" s="10">
        <v>1990</v>
      </c>
      <c r="U63" s="10">
        <v>2030</v>
      </c>
      <c r="V63" s="10">
        <v>0</v>
      </c>
      <c r="W63" s="10">
        <v>1</v>
      </c>
      <c r="X63" s="10" t="s">
        <v>51</v>
      </c>
      <c r="Y63" s="10" t="s">
        <v>51</v>
      </c>
      <c r="AB63" s="10">
        <v>0</v>
      </c>
      <c r="AF63" s="10" t="s">
        <v>150</v>
      </c>
    </row>
    <row r="64" spans="1:38" s="10" customFormat="1" ht="17" x14ac:dyDescent="0.35">
      <c r="A64" s="10" t="s">
        <v>147</v>
      </c>
      <c r="B64" s="10" t="s">
        <v>1030</v>
      </c>
      <c r="C64" s="33">
        <v>44510</v>
      </c>
      <c r="D64" s="10">
        <v>40</v>
      </c>
      <c r="E64" s="10" t="s">
        <v>1096</v>
      </c>
      <c r="F64" s="10" t="s">
        <v>1099</v>
      </c>
      <c r="G64" s="10" t="s">
        <v>53</v>
      </c>
      <c r="H64" s="10" t="s">
        <v>1077</v>
      </c>
      <c r="I64" s="23"/>
      <c r="J64" s="23"/>
      <c r="K64" s="23"/>
      <c r="L64" s="10">
        <v>40</v>
      </c>
      <c r="M64" s="1"/>
      <c r="N64" s="10">
        <v>35</v>
      </c>
      <c r="O64" s="56"/>
      <c r="P64" s="1">
        <v>5</v>
      </c>
      <c r="Q64" s="59"/>
      <c r="T64" s="10">
        <v>1990</v>
      </c>
      <c r="U64" s="10">
        <v>2030</v>
      </c>
      <c r="V64" s="10">
        <v>1</v>
      </c>
      <c r="W64" s="10">
        <v>0</v>
      </c>
      <c r="X64" s="10" t="s">
        <v>51</v>
      </c>
      <c r="Y64" s="10" t="s">
        <v>51</v>
      </c>
      <c r="AB64" s="10">
        <v>0</v>
      </c>
      <c r="AF64" s="10" t="s">
        <v>151</v>
      </c>
      <c r="AG64" s="10" t="s">
        <v>152</v>
      </c>
    </row>
    <row r="65" spans="1:38" s="2" customFormat="1" hidden="1" x14ac:dyDescent="0.35">
      <c r="A65" s="2" t="s">
        <v>147</v>
      </c>
      <c r="B65" s="2" t="s">
        <v>1031</v>
      </c>
      <c r="C65" s="26"/>
      <c r="D65" s="26"/>
      <c r="E65" s="26"/>
      <c r="F65" s="26"/>
      <c r="G65" s="26"/>
      <c r="H65" s="10"/>
      <c r="I65" s="10"/>
      <c r="J65" s="10"/>
      <c r="K65" s="1"/>
      <c r="M65" s="10"/>
      <c r="Q65" s="10"/>
      <c r="S65" s="1"/>
      <c r="T65" s="1"/>
      <c r="U65" s="1"/>
      <c r="V65" s="1"/>
      <c r="W65" s="1"/>
      <c r="X65" s="1"/>
      <c r="Y65" s="1"/>
      <c r="Z65" s="1"/>
    </row>
    <row r="66" spans="1:38" s="2" customFormat="1" hidden="1" x14ac:dyDescent="0.35">
      <c r="A66" s="2" t="s">
        <v>153</v>
      </c>
      <c r="B66" s="2" t="s">
        <v>1028</v>
      </c>
      <c r="C66" s="26"/>
      <c r="D66" s="26"/>
      <c r="E66" s="26"/>
      <c r="F66" s="26"/>
      <c r="G66" s="26"/>
      <c r="H66" s="10"/>
      <c r="I66" s="10"/>
      <c r="J66" s="10"/>
      <c r="K66" s="1"/>
      <c r="M66" s="10"/>
      <c r="Q66" s="10"/>
      <c r="S66" s="1"/>
      <c r="T66" s="1"/>
      <c r="U66" s="1"/>
      <c r="V66" s="1"/>
      <c r="W66" s="1"/>
      <c r="X66" s="1"/>
      <c r="Y66" s="1"/>
      <c r="Z66" s="1"/>
    </row>
    <row r="67" spans="1:38" s="10" customFormat="1" ht="17" x14ac:dyDescent="0.35">
      <c r="A67" s="10" t="s">
        <v>153</v>
      </c>
      <c r="B67" s="10" t="s">
        <v>1029</v>
      </c>
      <c r="C67" s="33">
        <v>42890</v>
      </c>
      <c r="D67" s="10">
        <v>40</v>
      </c>
      <c r="E67" s="10" t="s">
        <v>1091</v>
      </c>
      <c r="F67" s="10" t="s">
        <v>1091</v>
      </c>
      <c r="G67" s="10" t="s">
        <v>53</v>
      </c>
      <c r="H67" s="10" t="s">
        <v>1078</v>
      </c>
      <c r="L67" s="10">
        <v>40</v>
      </c>
      <c r="M67" s="1"/>
      <c r="N67" s="10">
        <v>40</v>
      </c>
      <c r="O67" s="56"/>
      <c r="P67" s="1"/>
      <c r="Q67" s="59"/>
      <c r="T67" s="10">
        <v>1990</v>
      </c>
      <c r="U67" s="10" t="s">
        <v>154</v>
      </c>
      <c r="V67" s="10">
        <v>0</v>
      </c>
      <c r="W67" s="10">
        <v>0</v>
      </c>
      <c r="X67" s="10" t="s">
        <v>51</v>
      </c>
      <c r="Y67" s="10" t="s">
        <v>51</v>
      </c>
      <c r="AB67" s="10">
        <v>0</v>
      </c>
      <c r="AF67" s="10" t="s">
        <v>100</v>
      </c>
    </row>
    <row r="68" spans="1:38" s="10" customFormat="1" x14ac:dyDescent="0.35">
      <c r="A68" s="10" t="s">
        <v>153</v>
      </c>
      <c r="B68" s="10" t="s">
        <v>1030</v>
      </c>
      <c r="C68" s="10" t="s">
        <v>102</v>
      </c>
      <c r="D68" s="10">
        <v>55</v>
      </c>
      <c r="E68" s="10" t="s">
        <v>1091</v>
      </c>
      <c r="F68" s="10" t="s">
        <v>1091</v>
      </c>
      <c r="G68" s="10" t="s">
        <v>53</v>
      </c>
      <c r="H68" s="10" t="s">
        <v>1078</v>
      </c>
      <c r="L68" s="10">
        <v>55</v>
      </c>
      <c r="M68" s="1"/>
      <c r="N68" s="10">
        <v>55</v>
      </c>
      <c r="O68" s="56"/>
      <c r="P68" s="1"/>
      <c r="Q68" s="59"/>
      <c r="T68" s="10">
        <v>1990</v>
      </c>
      <c r="U68" s="10" t="s">
        <v>154</v>
      </c>
      <c r="V68" s="10">
        <v>0</v>
      </c>
      <c r="W68" s="10">
        <v>0</v>
      </c>
      <c r="X68" s="10" t="s">
        <v>51</v>
      </c>
      <c r="Y68" s="10" t="s">
        <v>51</v>
      </c>
      <c r="AB68" s="10">
        <v>0</v>
      </c>
      <c r="AF68" s="10" t="s">
        <v>103</v>
      </c>
    </row>
    <row r="69" spans="1:38" s="2" customFormat="1" hidden="1" x14ac:dyDescent="0.35">
      <c r="A69" s="2" t="s">
        <v>153</v>
      </c>
      <c r="B69" s="2" t="s">
        <v>1031</v>
      </c>
      <c r="C69" s="26"/>
      <c r="D69" s="26"/>
      <c r="E69" s="26"/>
      <c r="F69" s="26"/>
      <c r="G69" s="26"/>
      <c r="H69" s="10"/>
      <c r="I69" s="10"/>
      <c r="J69" s="10"/>
      <c r="K69" s="1"/>
      <c r="M69" s="10"/>
      <c r="Q69" s="10"/>
      <c r="S69" s="1"/>
      <c r="T69" s="1"/>
      <c r="U69" s="1"/>
      <c r="V69" s="1"/>
      <c r="W69" s="1"/>
      <c r="X69" s="1"/>
      <c r="Y69" s="1"/>
      <c r="Z69" s="1"/>
    </row>
    <row r="70" spans="1:38" s="2" customFormat="1" hidden="1" x14ac:dyDescent="0.35">
      <c r="A70" s="2" t="s">
        <v>155</v>
      </c>
      <c r="B70" s="2" t="s">
        <v>1028</v>
      </c>
      <c r="C70" s="26" t="s">
        <v>156</v>
      </c>
      <c r="D70" s="26"/>
      <c r="E70" s="26"/>
      <c r="F70" s="26"/>
      <c r="G70" s="26" t="s">
        <v>157</v>
      </c>
      <c r="H70" s="10"/>
      <c r="I70" s="10"/>
      <c r="J70" s="10"/>
      <c r="K70" s="1"/>
      <c r="M70" s="10"/>
      <c r="Q70" s="10"/>
      <c r="S70" s="1"/>
      <c r="T70" s="1"/>
      <c r="U70" s="1"/>
      <c r="V70" s="1">
        <v>1</v>
      </c>
      <c r="W70" s="1">
        <v>0</v>
      </c>
      <c r="X70" s="1"/>
      <c r="Y70" s="1"/>
      <c r="Z70" s="1"/>
      <c r="AG70" s="2" t="s">
        <v>158</v>
      </c>
    </row>
    <row r="71" spans="1:38" s="1" customFormat="1" x14ac:dyDescent="0.35">
      <c r="A71" s="1" t="s">
        <v>155</v>
      </c>
      <c r="B71" s="1" t="s">
        <v>1029</v>
      </c>
      <c r="C71" s="1" t="s">
        <v>159</v>
      </c>
      <c r="G71" s="1" t="s">
        <v>157</v>
      </c>
      <c r="I71" s="15" t="s">
        <v>1085</v>
      </c>
      <c r="O71" s="56"/>
      <c r="Q71" s="59"/>
      <c r="V71" s="1">
        <v>1</v>
      </c>
      <c r="W71" s="1">
        <v>1</v>
      </c>
      <c r="AL71" s="1" t="s">
        <v>160</v>
      </c>
    </row>
    <row r="72" spans="1:38" s="1" customFormat="1" ht="17" x14ac:dyDescent="0.35">
      <c r="A72" s="1" t="s">
        <v>155</v>
      </c>
      <c r="B72" s="1" t="s">
        <v>1030</v>
      </c>
      <c r="C72" s="53">
        <v>44205</v>
      </c>
      <c r="E72" s="1" t="s">
        <v>1191</v>
      </c>
      <c r="F72" s="1" t="s">
        <v>1097</v>
      </c>
      <c r="G72" s="1" t="s">
        <v>53</v>
      </c>
      <c r="H72" s="1" t="s">
        <v>1076</v>
      </c>
      <c r="I72" s="15"/>
      <c r="M72" s="1">
        <v>5647</v>
      </c>
      <c r="O72" s="56"/>
      <c r="Q72" s="59">
        <v>5647</v>
      </c>
      <c r="U72" s="1">
        <v>2030</v>
      </c>
      <c r="V72" s="1">
        <v>1</v>
      </c>
      <c r="W72" s="1">
        <v>1</v>
      </c>
      <c r="X72" s="1" t="s">
        <v>78</v>
      </c>
      <c r="Y72" s="1" t="s">
        <v>78</v>
      </c>
      <c r="AB72" s="1">
        <v>0</v>
      </c>
      <c r="AF72" s="1" t="s">
        <v>161</v>
      </c>
      <c r="AG72" s="1" t="s">
        <v>162</v>
      </c>
      <c r="AJ72" s="1" t="s">
        <v>163</v>
      </c>
      <c r="AL72" s="1" t="s">
        <v>164</v>
      </c>
    </row>
    <row r="73" spans="1:38" s="2" customFormat="1" hidden="1" x14ac:dyDescent="0.35">
      <c r="A73" s="2" t="s">
        <v>155</v>
      </c>
      <c r="B73" s="2" t="s">
        <v>1031</v>
      </c>
      <c r="C73" s="26"/>
      <c r="D73" s="26"/>
      <c r="E73" s="26"/>
      <c r="F73" s="26"/>
      <c r="G73" s="26"/>
      <c r="I73" s="10"/>
      <c r="J73" s="10"/>
      <c r="K73" s="1"/>
      <c r="M73" s="10"/>
      <c r="Q73" s="10"/>
      <c r="S73" s="1"/>
      <c r="T73" s="1"/>
      <c r="U73" s="1"/>
      <c r="V73" s="1"/>
      <c r="W73" s="1"/>
      <c r="X73" s="1"/>
      <c r="Y73" s="1"/>
      <c r="Z73" s="1"/>
    </row>
    <row r="74" spans="1:38" s="2" customFormat="1" hidden="1" x14ac:dyDescent="0.35">
      <c r="A74" s="2" t="s">
        <v>165</v>
      </c>
      <c r="B74" s="2" t="s">
        <v>1028</v>
      </c>
      <c r="C74" s="26" t="s">
        <v>140</v>
      </c>
      <c r="D74" s="26">
        <v>21.4</v>
      </c>
      <c r="E74" s="26"/>
      <c r="F74" s="26"/>
      <c r="G74" s="26"/>
      <c r="H74" s="10" t="s">
        <v>1077</v>
      </c>
      <c r="I74" s="10"/>
      <c r="J74" s="10"/>
      <c r="K74" s="1"/>
      <c r="L74" s="2">
        <v>21.4</v>
      </c>
      <c r="M74" s="10"/>
      <c r="N74" s="2" t="s">
        <v>166</v>
      </c>
      <c r="P74" s="2">
        <v>17.899999999999999</v>
      </c>
      <c r="Q74" s="10"/>
      <c r="S74" s="1" t="s">
        <v>45</v>
      </c>
      <c r="T74" s="1"/>
      <c r="U74" s="1">
        <v>2030</v>
      </c>
      <c r="V74" s="1">
        <v>1</v>
      </c>
      <c r="W74" s="1">
        <v>1</v>
      </c>
      <c r="X74" s="1" t="s">
        <v>32</v>
      </c>
      <c r="Y74" s="1" t="s">
        <v>32</v>
      </c>
      <c r="Z74" s="1"/>
      <c r="AB74" s="2">
        <v>0</v>
      </c>
      <c r="AF74" s="2" t="s">
        <v>167</v>
      </c>
    </row>
    <row r="75" spans="1:38" s="10" customFormat="1" ht="17" x14ac:dyDescent="0.35">
      <c r="A75" s="10" t="s">
        <v>165</v>
      </c>
      <c r="B75" s="10" t="s">
        <v>1029</v>
      </c>
      <c r="C75" s="33">
        <v>43049</v>
      </c>
      <c r="D75" s="10">
        <v>16.170000000000002</v>
      </c>
      <c r="E75" s="10" t="s">
        <v>1114</v>
      </c>
      <c r="F75" s="10" t="s">
        <v>1105</v>
      </c>
      <c r="G75" s="10" t="s">
        <v>53</v>
      </c>
      <c r="H75" s="10" t="s">
        <v>1077</v>
      </c>
      <c r="I75" s="23"/>
      <c r="J75" s="23"/>
      <c r="K75" s="23"/>
      <c r="L75" s="10">
        <v>16.170000000000002</v>
      </c>
      <c r="M75" s="1"/>
      <c r="N75" s="10">
        <v>3.63</v>
      </c>
      <c r="O75" s="56"/>
      <c r="P75" s="1">
        <v>12.55</v>
      </c>
      <c r="Q75" s="59"/>
      <c r="S75" s="10" t="s">
        <v>45</v>
      </c>
      <c r="U75" s="10">
        <v>2030</v>
      </c>
      <c r="V75" s="10">
        <v>1</v>
      </c>
      <c r="W75" s="10">
        <v>1</v>
      </c>
      <c r="X75" s="10" t="s">
        <v>32</v>
      </c>
      <c r="Y75" s="10" t="s">
        <v>32</v>
      </c>
      <c r="AB75" s="10">
        <v>0</v>
      </c>
      <c r="AF75" s="10" t="s">
        <v>167</v>
      </c>
    </row>
    <row r="76" spans="1:38" s="10" customFormat="1" ht="17" x14ac:dyDescent="0.35">
      <c r="A76" s="10" t="s">
        <v>165</v>
      </c>
      <c r="B76" s="10" t="s">
        <v>1030</v>
      </c>
      <c r="C76" s="33">
        <v>44540</v>
      </c>
      <c r="D76" s="10">
        <v>20.149999999999999</v>
      </c>
      <c r="E76" s="10" t="s">
        <v>1115</v>
      </c>
      <c r="F76" s="10" t="s">
        <v>1105</v>
      </c>
      <c r="G76" s="10" t="s">
        <v>53</v>
      </c>
      <c r="H76" s="10" t="s">
        <v>1077</v>
      </c>
      <c r="I76" s="23"/>
      <c r="J76" s="23"/>
      <c r="K76" s="23"/>
      <c r="L76" s="10">
        <v>20.149999999999999</v>
      </c>
      <c r="M76" s="1"/>
      <c r="O76" s="56"/>
      <c r="P76" s="1"/>
      <c r="Q76" s="59"/>
      <c r="S76" s="10" t="s">
        <v>45</v>
      </c>
      <c r="U76" s="10">
        <v>2030</v>
      </c>
      <c r="V76" s="10">
        <v>1</v>
      </c>
      <c r="W76" s="10">
        <v>1</v>
      </c>
      <c r="X76" s="10" t="s">
        <v>32</v>
      </c>
      <c r="Y76" s="10" t="s">
        <v>32</v>
      </c>
      <c r="AB76" s="10">
        <v>0</v>
      </c>
      <c r="AF76" s="10" t="s">
        <v>168</v>
      </c>
    </row>
    <row r="77" spans="1:38" s="2" customFormat="1" hidden="1" x14ac:dyDescent="0.35">
      <c r="A77" s="2" t="s">
        <v>165</v>
      </c>
      <c r="B77" s="2" t="s">
        <v>1031</v>
      </c>
      <c r="C77" s="26"/>
      <c r="D77" s="26"/>
      <c r="E77" s="26"/>
      <c r="F77" s="26"/>
      <c r="G77" s="26"/>
      <c r="H77" s="10"/>
      <c r="I77" s="10"/>
      <c r="J77" s="10"/>
      <c r="K77" s="1"/>
      <c r="M77" s="10"/>
      <c r="Q77" s="10"/>
      <c r="S77" s="1"/>
      <c r="T77" s="1"/>
      <c r="U77" s="1"/>
      <c r="V77" s="1">
        <v>1</v>
      </c>
      <c r="W77" s="1">
        <v>1</v>
      </c>
      <c r="X77" s="1"/>
      <c r="Y77" s="1"/>
      <c r="Z77" s="1"/>
    </row>
    <row r="78" spans="1:38" s="1" customFormat="1" hidden="1" x14ac:dyDescent="0.35">
      <c r="A78" s="1" t="s">
        <v>169</v>
      </c>
      <c r="B78" s="1" t="s">
        <v>1028</v>
      </c>
      <c r="C78" s="26" t="s">
        <v>170</v>
      </c>
      <c r="D78" s="26"/>
      <c r="E78" s="26"/>
      <c r="F78" s="26"/>
      <c r="G78" s="26" t="s">
        <v>129</v>
      </c>
      <c r="H78" s="1" t="s">
        <v>1077</v>
      </c>
      <c r="I78" s="10"/>
      <c r="J78" s="10"/>
      <c r="M78" s="1">
        <v>6300</v>
      </c>
      <c r="V78" s="1">
        <v>1</v>
      </c>
      <c r="W78" s="1">
        <v>1</v>
      </c>
      <c r="X78" s="1" t="s">
        <v>78</v>
      </c>
      <c r="Y78" s="1" t="s">
        <v>78</v>
      </c>
      <c r="AB78" s="1">
        <v>1</v>
      </c>
      <c r="AF78" s="1" t="s">
        <v>171</v>
      </c>
    </row>
    <row r="79" spans="1:38" s="10" customFormat="1" ht="17.5" x14ac:dyDescent="0.35">
      <c r="A79" s="10" t="s">
        <v>169</v>
      </c>
      <c r="B79" s="10" t="s">
        <v>1029</v>
      </c>
      <c r="C79" s="10" t="s">
        <v>172</v>
      </c>
      <c r="E79" t="s">
        <v>1192</v>
      </c>
      <c r="F79" s="17" t="s">
        <v>1130</v>
      </c>
      <c r="G79" s="10" t="s">
        <v>129</v>
      </c>
      <c r="H79" s="10" t="s">
        <v>1077</v>
      </c>
      <c r="M79" s="1">
        <v>6300</v>
      </c>
      <c r="O79" s="56"/>
      <c r="P79" s="1"/>
      <c r="Q79" s="59"/>
      <c r="V79" s="10">
        <v>1</v>
      </c>
      <c r="W79" s="10">
        <v>1</v>
      </c>
      <c r="X79" s="10" t="s">
        <v>78</v>
      </c>
      <c r="Y79" s="10" t="s">
        <v>78</v>
      </c>
      <c r="AB79" s="10">
        <v>1</v>
      </c>
      <c r="AF79" s="10" t="s">
        <v>171</v>
      </c>
    </row>
    <row r="80" spans="1:38" s="10" customFormat="1" ht="17.5" x14ac:dyDescent="0.35">
      <c r="A80" s="10" t="s">
        <v>169</v>
      </c>
      <c r="B80" s="10" t="s">
        <v>1030</v>
      </c>
      <c r="C80" s="10" t="s">
        <v>173</v>
      </c>
      <c r="E80" t="s">
        <v>1192</v>
      </c>
      <c r="F80" s="17" t="s">
        <v>1130</v>
      </c>
      <c r="G80" s="10" t="s">
        <v>53</v>
      </c>
      <c r="M80" s="1"/>
      <c r="O80" s="56"/>
      <c r="P80" s="1"/>
      <c r="Q80" s="59"/>
      <c r="U80" s="10">
        <v>2030</v>
      </c>
      <c r="V80" s="10">
        <v>1</v>
      </c>
      <c r="W80" s="10">
        <v>1</v>
      </c>
      <c r="AB80" s="10">
        <v>1</v>
      </c>
      <c r="AF80" s="10" t="s">
        <v>174</v>
      </c>
    </row>
    <row r="81" spans="1:38" s="1" customFormat="1" hidden="1" x14ac:dyDescent="0.35">
      <c r="A81" s="1" t="s">
        <v>169</v>
      </c>
      <c r="B81" s="1" t="s">
        <v>1031</v>
      </c>
      <c r="C81" s="26"/>
      <c r="D81" s="26"/>
      <c r="E81" s="26"/>
      <c r="F81" s="26"/>
      <c r="G81" s="26"/>
      <c r="I81" s="10"/>
      <c r="J81" s="10"/>
    </row>
    <row r="82" spans="1:38" s="2" customFormat="1" hidden="1" x14ac:dyDescent="0.35">
      <c r="A82" s="2" t="s">
        <v>175</v>
      </c>
      <c r="B82" s="2" t="s">
        <v>1028</v>
      </c>
      <c r="C82" s="26"/>
      <c r="D82" s="26"/>
      <c r="E82" s="26"/>
      <c r="F82" s="26"/>
      <c r="G82" s="26"/>
      <c r="H82" s="10"/>
      <c r="I82" s="10"/>
      <c r="J82" s="10"/>
      <c r="K82" s="1"/>
      <c r="M82" s="10"/>
      <c r="Q82" s="10"/>
      <c r="S82" s="1"/>
      <c r="T82" s="1"/>
      <c r="U82" s="1"/>
      <c r="V82" s="1">
        <v>1</v>
      </c>
      <c r="W82" s="1">
        <v>1</v>
      </c>
      <c r="X82" s="1"/>
      <c r="Y82" s="1"/>
      <c r="Z82" s="1"/>
      <c r="AB82" s="2">
        <v>0</v>
      </c>
      <c r="AF82" s="2" t="s">
        <v>176</v>
      </c>
      <c r="AL82" s="2" t="s">
        <v>177</v>
      </c>
    </row>
    <row r="83" spans="1:38" s="46" customFormat="1" ht="17" x14ac:dyDescent="0.35">
      <c r="A83" s="46" t="s">
        <v>175</v>
      </c>
      <c r="B83" s="46" t="s">
        <v>1029</v>
      </c>
      <c r="C83" s="49" t="s">
        <v>99</v>
      </c>
      <c r="I83" s="48" t="s">
        <v>1085</v>
      </c>
      <c r="M83" s="51"/>
      <c r="O83" s="57"/>
      <c r="P83" s="51"/>
      <c r="Q83" s="60"/>
      <c r="V83" s="46">
        <v>1</v>
      </c>
      <c r="W83" s="46">
        <v>1</v>
      </c>
      <c r="AB83" s="46">
        <v>0</v>
      </c>
      <c r="AF83" s="46" t="s">
        <v>176</v>
      </c>
      <c r="AL83" s="46" t="s">
        <v>177</v>
      </c>
    </row>
    <row r="84" spans="1:38" s="46" customFormat="1" x14ac:dyDescent="0.35">
      <c r="A84" s="46" t="s">
        <v>175</v>
      </c>
      <c r="B84" s="46" t="s">
        <v>1030</v>
      </c>
      <c r="C84" s="46" t="s">
        <v>178</v>
      </c>
      <c r="I84" s="48" t="s">
        <v>1085</v>
      </c>
      <c r="M84" s="51"/>
      <c r="O84" s="57"/>
      <c r="P84" s="51"/>
      <c r="Q84" s="60"/>
      <c r="V84" s="46">
        <v>1</v>
      </c>
      <c r="W84" s="46">
        <v>1</v>
      </c>
      <c r="AB84" s="46">
        <v>0</v>
      </c>
      <c r="AF84" s="46" t="s">
        <v>179</v>
      </c>
      <c r="AL84" s="46" t="s">
        <v>180</v>
      </c>
    </row>
    <row r="85" spans="1:38" s="2" customFormat="1" hidden="1" x14ac:dyDescent="0.35">
      <c r="A85" s="2" t="s">
        <v>175</v>
      </c>
      <c r="B85" s="2" t="s">
        <v>1031</v>
      </c>
      <c r="C85" s="26"/>
      <c r="D85" s="26"/>
      <c r="E85" s="26"/>
      <c r="F85" s="26"/>
      <c r="G85" s="26"/>
      <c r="H85" s="10"/>
      <c r="I85" s="10"/>
      <c r="J85" s="10"/>
      <c r="K85" s="1"/>
      <c r="M85" s="10"/>
      <c r="Q85" s="10"/>
      <c r="S85" s="1"/>
      <c r="T85" s="1"/>
      <c r="U85" s="1"/>
      <c r="V85" s="1"/>
      <c r="W85" s="1"/>
      <c r="X85" s="1"/>
      <c r="Y85" s="1"/>
      <c r="Z85" s="1"/>
    </row>
    <row r="86" spans="1:38" s="2" customFormat="1" hidden="1" x14ac:dyDescent="0.35">
      <c r="A86" s="2" t="s">
        <v>181</v>
      </c>
      <c r="B86" s="2" t="s">
        <v>1028</v>
      </c>
      <c r="C86" s="26">
        <v>42226</v>
      </c>
      <c r="D86" s="26" t="s">
        <v>182</v>
      </c>
      <c r="E86" s="26"/>
      <c r="F86" s="26"/>
      <c r="G86" s="26"/>
      <c r="H86" s="10" t="s">
        <v>1077</v>
      </c>
      <c r="I86" s="10"/>
      <c r="J86" s="10"/>
      <c r="K86" s="1"/>
      <c r="L86" s="2" t="s">
        <v>182</v>
      </c>
      <c r="M86" s="10"/>
      <c r="N86" s="2">
        <v>5</v>
      </c>
      <c r="P86" s="2">
        <v>18</v>
      </c>
      <c r="Q86" s="10"/>
      <c r="S86" s="1"/>
      <c r="T86" s="1">
        <v>1990</v>
      </c>
      <c r="U86" s="1">
        <v>2030</v>
      </c>
      <c r="V86" s="1">
        <v>1</v>
      </c>
      <c r="W86" s="1">
        <v>0</v>
      </c>
      <c r="X86" s="1" t="s">
        <v>51</v>
      </c>
      <c r="Y86" s="1" t="s">
        <v>51</v>
      </c>
      <c r="Z86" s="1"/>
      <c r="AB86" s="2">
        <v>0</v>
      </c>
      <c r="AF86" s="2" t="s">
        <v>183</v>
      </c>
    </row>
    <row r="87" spans="1:38" s="10" customFormat="1" x14ac:dyDescent="0.35">
      <c r="A87" s="10" t="s">
        <v>181</v>
      </c>
      <c r="B87" s="10" t="s">
        <v>1029</v>
      </c>
      <c r="C87" s="10" t="s">
        <v>184</v>
      </c>
      <c r="D87" s="10" t="s">
        <v>182</v>
      </c>
      <c r="E87" s="10" t="s">
        <v>1096</v>
      </c>
      <c r="F87" s="10" t="s">
        <v>1099</v>
      </c>
      <c r="G87" s="10" t="s">
        <v>1116</v>
      </c>
      <c r="H87" s="10" t="s">
        <v>1077</v>
      </c>
      <c r="L87" s="10" t="s">
        <v>182</v>
      </c>
      <c r="M87" s="1"/>
      <c r="N87" s="10">
        <v>5</v>
      </c>
      <c r="O87" s="56"/>
      <c r="P87" s="1">
        <v>18</v>
      </c>
      <c r="Q87" s="59"/>
      <c r="T87" s="10">
        <v>1990</v>
      </c>
      <c r="U87" s="10">
        <v>2030</v>
      </c>
      <c r="V87" s="10">
        <v>1</v>
      </c>
      <c r="W87" s="10">
        <v>0</v>
      </c>
      <c r="X87" s="10" t="s">
        <v>51</v>
      </c>
      <c r="Y87" s="10" t="s">
        <v>51</v>
      </c>
      <c r="AB87" s="10">
        <v>0</v>
      </c>
      <c r="AF87" s="10" t="s">
        <v>183</v>
      </c>
      <c r="AL87" s="10" t="s">
        <v>185</v>
      </c>
    </row>
    <row r="88" spans="1:38" s="10" customFormat="1" x14ac:dyDescent="0.35">
      <c r="A88" s="10" t="s">
        <v>181</v>
      </c>
      <c r="B88" s="10" t="s">
        <v>1030</v>
      </c>
      <c r="C88" s="10" t="s">
        <v>186</v>
      </c>
      <c r="D88" s="36">
        <v>36.799999999999997</v>
      </c>
      <c r="E88" s="10" t="s">
        <v>1096</v>
      </c>
      <c r="F88" s="10" t="s">
        <v>1099</v>
      </c>
      <c r="G88" s="10" t="s">
        <v>129</v>
      </c>
      <c r="H88" s="10" t="s">
        <v>1077</v>
      </c>
      <c r="L88" s="10">
        <v>36.799999999999997</v>
      </c>
      <c r="M88" s="1"/>
      <c r="N88" s="10" t="s">
        <v>187</v>
      </c>
      <c r="O88" s="56"/>
      <c r="P88" s="1">
        <v>3.6</v>
      </c>
      <c r="Q88" s="59"/>
      <c r="T88" s="10">
        <v>1990</v>
      </c>
      <c r="U88" s="10">
        <v>2030</v>
      </c>
      <c r="V88" s="10">
        <v>1</v>
      </c>
      <c r="W88" s="10">
        <v>1</v>
      </c>
      <c r="X88" s="10" t="s">
        <v>51</v>
      </c>
      <c r="Y88" s="10" t="s">
        <v>51</v>
      </c>
      <c r="AB88" s="10">
        <v>1</v>
      </c>
      <c r="AC88" s="10">
        <v>2050</v>
      </c>
      <c r="AD88" s="10">
        <v>50</v>
      </c>
      <c r="AF88" s="10" t="s">
        <v>188</v>
      </c>
      <c r="AG88" s="10" t="s">
        <v>189</v>
      </c>
    </row>
    <row r="89" spans="1:38" s="2" customFormat="1" hidden="1" x14ac:dyDescent="0.35">
      <c r="A89" s="2" t="s">
        <v>181</v>
      </c>
      <c r="B89" s="2" t="s">
        <v>1031</v>
      </c>
      <c r="C89" s="26"/>
      <c r="D89" s="26"/>
      <c r="E89" s="26"/>
      <c r="F89" s="26"/>
      <c r="G89" s="26"/>
      <c r="H89" s="10"/>
      <c r="I89" s="10"/>
      <c r="J89" s="10"/>
      <c r="K89" s="1"/>
      <c r="M89" s="10"/>
      <c r="Q89" s="10"/>
      <c r="S89" s="1"/>
      <c r="T89" s="1"/>
      <c r="U89" s="1"/>
      <c r="V89" s="1"/>
      <c r="W89" s="1"/>
      <c r="X89" s="1"/>
      <c r="Y89" s="1"/>
      <c r="Z89" s="1"/>
    </row>
    <row r="90" spans="1:38" s="2" customFormat="1" hidden="1" x14ac:dyDescent="0.35">
      <c r="A90" s="2" t="s">
        <v>190</v>
      </c>
      <c r="B90" s="2" t="s">
        <v>1028</v>
      </c>
      <c r="C90" s="26" t="s">
        <v>156</v>
      </c>
      <c r="D90" s="26" t="s">
        <v>191</v>
      </c>
      <c r="E90" s="26"/>
      <c r="F90" s="26"/>
      <c r="G90" s="26"/>
      <c r="H90" s="10"/>
      <c r="I90" s="10"/>
      <c r="J90" s="10"/>
      <c r="K90" s="1"/>
      <c r="L90" s="2" t="s">
        <v>191</v>
      </c>
      <c r="M90" s="10"/>
      <c r="Q90" s="10"/>
      <c r="S90" s="1"/>
      <c r="T90" s="1">
        <v>2010</v>
      </c>
      <c r="U90" s="1">
        <v>2030</v>
      </c>
      <c r="V90" s="1">
        <v>1</v>
      </c>
      <c r="W90" s="1">
        <v>1</v>
      </c>
      <c r="X90" s="1" t="s">
        <v>51</v>
      </c>
      <c r="Y90" s="1" t="s">
        <v>51</v>
      </c>
      <c r="Z90" s="1"/>
      <c r="AB90" s="2">
        <v>0</v>
      </c>
      <c r="AF90" s="2" t="s">
        <v>192</v>
      </c>
    </row>
    <row r="91" spans="1:38" s="10" customFormat="1" x14ac:dyDescent="0.35">
      <c r="A91" s="10" t="s">
        <v>190</v>
      </c>
      <c r="B91" s="10" t="s">
        <v>1029</v>
      </c>
      <c r="C91" s="10" t="s">
        <v>193</v>
      </c>
      <c r="D91" s="10" t="s">
        <v>191</v>
      </c>
      <c r="E91" s="10" t="s">
        <v>1114</v>
      </c>
      <c r="F91" s="10" t="s">
        <v>1105</v>
      </c>
      <c r="G91" s="10" t="s">
        <v>38</v>
      </c>
      <c r="H91" s="10" t="s">
        <v>1119</v>
      </c>
      <c r="L91" s="10" t="s">
        <v>191</v>
      </c>
      <c r="M91" s="1"/>
      <c r="O91" s="56"/>
      <c r="P91" s="1"/>
      <c r="Q91" s="59"/>
      <c r="T91" s="10">
        <v>2010</v>
      </c>
      <c r="U91" s="10">
        <v>2030</v>
      </c>
      <c r="V91" s="10">
        <v>1</v>
      </c>
      <c r="W91" s="10">
        <v>1</v>
      </c>
      <c r="X91" s="10" t="s">
        <v>51</v>
      </c>
      <c r="Y91" s="10" t="s">
        <v>51</v>
      </c>
      <c r="AB91" s="10">
        <v>0</v>
      </c>
      <c r="AF91" s="10" t="s">
        <v>192</v>
      </c>
    </row>
    <row r="92" spans="1:38" s="10" customFormat="1" x14ac:dyDescent="0.35">
      <c r="A92" s="10" t="s">
        <v>190</v>
      </c>
      <c r="B92" s="10" t="s">
        <v>1030</v>
      </c>
      <c r="C92" s="10" t="s">
        <v>194</v>
      </c>
      <c r="D92" s="10" t="s">
        <v>191</v>
      </c>
      <c r="E92" s="10" t="s">
        <v>1114</v>
      </c>
      <c r="F92" s="10" t="s">
        <v>1114</v>
      </c>
      <c r="G92" s="10" t="s">
        <v>195</v>
      </c>
      <c r="H92" s="10" t="s">
        <v>1119</v>
      </c>
      <c r="L92" s="10" t="s">
        <v>191</v>
      </c>
      <c r="M92" s="1"/>
      <c r="O92" s="56"/>
      <c r="P92" s="1"/>
      <c r="Q92" s="59"/>
      <c r="S92" s="10" t="s">
        <v>45</v>
      </c>
      <c r="U92" s="10">
        <v>2030</v>
      </c>
      <c r="V92" s="10">
        <v>1</v>
      </c>
      <c r="AB92" s="10">
        <v>0</v>
      </c>
      <c r="AF92" s="10" t="s">
        <v>196</v>
      </c>
      <c r="AG92" s="10" t="s">
        <v>197</v>
      </c>
    </row>
    <row r="93" spans="1:38" s="2" customFormat="1" hidden="1" x14ac:dyDescent="0.35">
      <c r="A93" s="2" t="s">
        <v>190</v>
      </c>
      <c r="B93" s="2" t="s">
        <v>1031</v>
      </c>
      <c r="C93" s="26"/>
      <c r="D93" s="26"/>
      <c r="E93" s="26"/>
      <c r="F93" s="26"/>
      <c r="G93" s="26"/>
      <c r="H93" s="10"/>
      <c r="I93" s="10"/>
      <c r="J93" s="10"/>
      <c r="K93" s="1"/>
      <c r="M93" s="10"/>
      <c r="Q93" s="10"/>
      <c r="S93" s="1"/>
      <c r="T93" s="1"/>
      <c r="U93" s="1"/>
      <c r="V93" s="1"/>
      <c r="W93" s="1"/>
      <c r="X93" s="1"/>
      <c r="Y93" s="1"/>
      <c r="Z93" s="1"/>
    </row>
    <row r="94" spans="1:38" s="2" customFormat="1" hidden="1" x14ac:dyDescent="0.35">
      <c r="A94" s="2" t="s">
        <v>198</v>
      </c>
      <c r="B94" s="2" t="s">
        <v>1028</v>
      </c>
      <c r="C94" s="26" t="s">
        <v>199</v>
      </c>
      <c r="D94" s="26">
        <v>37</v>
      </c>
      <c r="E94" s="26"/>
      <c r="F94" s="26"/>
      <c r="G94" s="26"/>
      <c r="H94" s="2" t="s">
        <v>1078</v>
      </c>
      <c r="I94" s="10"/>
      <c r="J94" s="10"/>
      <c r="K94" s="1"/>
      <c r="L94" s="2">
        <v>37</v>
      </c>
      <c r="M94" s="10"/>
      <c r="N94" s="2">
        <v>37</v>
      </c>
      <c r="Q94" s="10"/>
      <c r="R94" s="2">
        <v>37</v>
      </c>
      <c r="S94" s="1"/>
      <c r="T94" s="1">
        <v>2005</v>
      </c>
      <c r="U94" s="1">
        <v>2025</v>
      </c>
      <c r="V94" s="1">
        <v>0</v>
      </c>
      <c r="W94" s="1">
        <v>1</v>
      </c>
      <c r="X94" s="1" t="s">
        <v>51</v>
      </c>
      <c r="Y94" s="1" t="s">
        <v>51</v>
      </c>
      <c r="Z94" s="1"/>
      <c r="AA94" s="2">
        <v>2025</v>
      </c>
      <c r="AB94" s="2">
        <v>0</v>
      </c>
      <c r="AF94" s="2" t="s">
        <v>200</v>
      </c>
      <c r="AL94" s="2" t="s">
        <v>201</v>
      </c>
    </row>
    <row r="95" spans="1:38" s="10" customFormat="1" x14ac:dyDescent="0.35">
      <c r="A95" s="10" t="s">
        <v>198</v>
      </c>
      <c r="B95" s="10" t="s">
        <v>1029</v>
      </c>
      <c r="C95" s="10" t="s">
        <v>40</v>
      </c>
      <c r="D95" s="36">
        <v>37</v>
      </c>
      <c r="E95" s="10" t="s">
        <v>1114</v>
      </c>
      <c r="F95" s="10" t="s">
        <v>1091</v>
      </c>
      <c r="G95" s="10" t="s">
        <v>38</v>
      </c>
      <c r="H95" s="10" t="s">
        <v>1078</v>
      </c>
      <c r="L95" s="10">
        <v>37</v>
      </c>
      <c r="M95" s="1"/>
      <c r="N95" s="10">
        <v>37</v>
      </c>
      <c r="O95" s="56"/>
      <c r="P95" s="1"/>
      <c r="Q95" s="59"/>
      <c r="R95" s="10">
        <v>37</v>
      </c>
      <c r="T95" s="10">
        <v>2005</v>
      </c>
      <c r="U95" s="10">
        <v>2025</v>
      </c>
      <c r="V95" s="10">
        <v>0</v>
      </c>
      <c r="W95" s="10">
        <v>1</v>
      </c>
      <c r="X95" s="10" t="s">
        <v>51</v>
      </c>
      <c r="Y95" s="10" t="s">
        <v>51</v>
      </c>
      <c r="AA95" s="10">
        <v>2025</v>
      </c>
      <c r="AB95" s="10">
        <v>0</v>
      </c>
      <c r="AF95" s="10" t="s">
        <v>200</v>
      </c>
      <c r="AL95" s="10" t="s">
        <v>201</v>
      </c>
    </row>
    <row r="96" spans="1:38" s="10" customFormat="1" ht="17" x14ac:dyDescent="0.35">
      <c r="A96" s="10" t="s">
        <v>198</v>
      </c>
      <c r="B96" s="10" t="s">
        <v>1030</v>
      </c>
      <c r="C96" s="33">
        <v>44996</v>
      </c>
      <c r="D96" s="36">
        <v>53.1</v>
      </c>
      <c r="E96" s="10" t="s">
        <v>1114</v>
      </c>
      <c r="F96" s="10" t="s">
        <v>1091</v>
      </c>
      <c r="G96" s="10" t="s">
        <v>129</v>
      </c>
      <c r="H96" s="10" t="s">
        <v>1078</v>
      </c>
      <c r="L96" s="10">
        <v>53.1</v>
      </c>
      <c r="M96" s="1"/>
      <c r="N96" s="10">
        <v>53.1</v>
      </c>
      <c r="O96" s="56"/>
      <c r="P96" s="1"/>
      <c r="Q96" s="59"/>
      <c r="R96" s="10" t="s">
        <v>202</v>
      </c>
      <c r="T96" s="10">
        <v>2005</v>
      </c>
      <c r="U96" s="10">
        <v>2030</v>
      </c>
      <c r="V96" s="10">
        <v>0</v>
      </c>
      <c r="W96" s="10">
        <v>1</v>
      </c>
      <c r="X96" s="10" t="s">
        <v>51</v>
      </c>
      <c r="Y96" s="10" t="s">
        <v>51</v>
      </c>
      <c r="AA96" s="10">
        <v>2025</v>
      </c>
      <c r="AB96" s="10">
        <v>0</v>
      </c>
      <c r="AF96" s="10" t="s">
        <v>203</v>
      </c>
      <c r="AL96" s="10" t="s">
        <v>204</v>
      </c>
    </row>
    <row r="97" spans="1:39" s="2" customFormat="1" hidden="1" x14ac:dyDescent="0.35">
      <c r="A97" s="2" t="s">
        <v>198</v>
      </c>
      <c r="B97" s="2" t="s">
        <v>1031</v>
      </c>
      <c r="C97" s="26" t="s">
        <v>205</v>
      </c>
      <c r="D97" s="26">
        <v>63</v>
      </c>
      <c r="E97" s="26"/>
      <c r="F97" s="26"/>
      <c r="G97" s="26" t="s">
        <v>206</v>
      </c>
      <c r="H97" s="2" t="s">
        <v>1078</v>
      </c>
      <c r="I97" s="10"/>
      <c r="J97" s="10"/>
      <c r="K97" s="1"/>
      <c r="L97" s="2">
        <v>63</v>
      </c>
      <c r="M97" s="10"/>
      <c r="N97" s="2">
        <v>63</v>
      </c>
      <c r="Q97" s="10"/>
      <c r="S97" s="1"/>
      <c r="T97" s="1">
        <v>2005</v>
      </c>
      <c r="U97" s="1">
        <v>2035</v>
      </c>
      <c r="V97" s="1">
        <v>0</v>
      </c>
      <c r="W97" s="1">
        <v>1</v>
      </c>
      <c r="X97" s="1" t="s">
        <v>51</v>
      </c>
      <c r="Y97" s="1" t="s">
        <v>51</v>
      </c>
      <c r="Z97" s="1"/>
      <c r="AB97" s="2">
        <v>0</v>
      </c>
      <c r="AF97" s="2" t="s">
        <v>203</v>
      </c>
      <c r="AG97" s="2" t="s">
        <v>207</v>
      </c>
      <c r="AL97" s="2" t="s">
        <v>204</v>
      </c>
    </row>
    <row r="98" spans="1:39" s="2" customFormat="1" hidden="1" x14ac:dyDescent="0.35">
      <c r="A98" s="2" t="s">
        <v>208</v>
      </c>
      <c r="B98" s="2" t="s">
        <v>1028</v>
      </c>
      <c r="C98" s="26"/>
      <c r="D98" s="26"/>
      <c r="E98" s="26"/>
      <c r="F98" s="26"/>
      <c r="G98" s="26"/>
      <c r="H98" s="10"/>
      <c r="I98" s="10"/>
      <c r="J98" s="10"/>
      <c r="K98" s="1"/>
      <c r="M98" s="10"/>
      <c r="Q98" s="10"/>
      <c r="S98" s="1"/>
      <c r="T98" s="1"/>
      <c r="U98" s="1"/>
      <c r="V98" s="1"/>
      <c r="W98" s="1"/>
      <c r="X98" s="1"/>
      <c r="Y98" s="1"/>
      <c r="Z98" s="1"/>
    </row>
    <row r="99" spans="1:39" s="10" customFormat="1" ht="17" x14ac:dyDescent="0.35">
      <c r="A99" s="10" t="s">
        <v>208</v>
      </c>
      <c r="B99" s="10" t="s">
        <v>1029</v>
      </c>
      <c r="C99" s="14" t="s">
        <v>210</v>
      </c>
      <c r="D99" s="36">
        <v>20</v>
      </c>
      <c r="E99" s="10" t="s">
        <v>1091</v>
      </c>
      <c r="F99" s="10" t="s">
        <v>1091</v>
      </c>
      <c r="G99" s="10" t="s">
        <v>53</v>
      </c>
      <c r="H99" s="10" t="s">
        <v>1078</v>
      </c>
      <c r="L99" s="10">
        <v>20</v>
      </c>
      <c r="M99" s="1"/>
      <c r="N99" s="10">
        <v>20</v>
      </c>
      <c r="O99" s="56"/>
      <c r="P99" s="1"/>
      <c r="Q99" s="59"/>
      <c r="S99" s="10" t="s">
        <v>45</v>
      </c>
      <c r="U99" s="10">
        <v>2030</v>
      </c>
      <c r="V99" s="10">
        <v>0</v>
      </c>
      <c r="W99" s="10">
        <v>1</v>
      </c>
      <c r="X99" s="10" t="s">
        <v>32</v>
      </c>
      <c r="Y99" s="10" t="s">
        <v>32</v>
      </c>
      <c r="AB99" s="10">
        <v>0</v>
      </c>
      <c r="AF99" s="22" t="s">
        <v>211</v>
      </c>
      <c r="AG99" s="10" t="s">
        <v>209</v>
      </c>
      <c r="AM99" s="10" t="s">
        <v>209</v>
      </c>
    </row>
    <row r="100" spans="1:39" s="10" customFormat="1" x14ac:dyDescent="0.35">
      <c r="A100" s="10" t="s">
        <v>208</v>
      </c>
      <c r="B100" s="10" t="s">
        <v>1030</v>
      </c>
      <c r="C100" s="10" t="s">
        <v>210</v>
      </c>
      <c r="D100" s="36"/>
      <c r="H100" s="10" t="s">
        <v>1078</v>
      </c>
      <c r="L100" s="10">
        <v>20</v>
      </c>
      <c r="M100" s="1"/>
      <c r="N100" s="10">
        <v>20</v>
      </c>
      <c r="O100" s="56"/>
      <c r="P100" s="1"/>
      <c r="Q100" s="59"/>
      <c r="S100" s="10" t="s">
        <v>45</v>
      </c>
      <c r="U100" s="10">
        <v>2030</v>
      </c>
      <c r="V100" s="10">
        <v>0</v>
      </c>
      <c r="W100" s="10">
        <v>1</v>
      </c>
      <c r="X100" s="10" t="s">
        <v>32</v>
      </c>
      <c r="Y100" s="10" t="s">
        <v>32</v>
      </c>
      <c r="AB100" s="10">
        <v>0</v>
      </c>
      <c r="AF100" s="10" t="s">
        <v>211</v>
      </c>
      <c r="AG100" s="10" t="s">
        <v>209</v>
      </c>
      <c r="AM100" s="10" t="s">
        <v>209</v>
      </c>
    </row>
    <row r="101" spans="1:39" s="2" customFormat="1" ht="17" hidden="1" x14ac:dyDescent="0.35">
      <c r="A101" s="2" t="s">
        <v>208</v>
      </c>
      <c r="B101" s="2" t="s">
        <v>1031</v>
      </c>
      <c r="C101" s="30" t="s">
        <v>1037</v>
      </c>
      <c r="D101" s="26">
        <v>20</v>
      </c>
      <c r="E101" s="26"/>
      <c r="F101" s="26"/>
      <c r="G101" s="26"/>
      <c r="H101" s="2" t="s">
        <v>1078</v>
      </c>
      <c r="I101" s="14"/>
      <c r="J101" s="14"/>
      <c r="K101" s="18"/>
      <c r="L101" s="2">
        <v>20</v>
      </c>
      <c r="M101" s="10"/>
      <c r="N101" s="2">
        <v>20</v>
      </c>
      <c r="Q101" s="10"/>
      <c r="S101" s="1"/>
      <c r="T101" s="1">
        <v>2015</v>
      </c>
      <c r="U101" s="1">
        <v>2035</v>
      </c>
      <c r="V101" s="1">
        <v>0</v>
      </c>
      <c r="W101" s="1">
        <v>0</v>
      </c>
      <c r="X101" s="1" t="s">
        <v>51</v>
      </c>
      <c r="Y101" s="1" t="s">
        <v>51</v>
      </c>
      <c r="Z101" s="1"/>
      <c r="AB101" s="2">
        <v>0</v>
      </c>
    </row>
    <row r="102" spans="1:39" s="2" customFormat="1" hidden="1" x14ac:dyDescent="0.35">
      <c r="A102" s="2" t="s">
        <v>212</v>
      </c>
      <c r="B102" s="2" t="s">
        <v>1028</v>
      </c>
      <c r="C102" s="26"/>
      <c r="D102" s="26"/>
      <c r="E102" s="26"/>
      <c r="F102" s="26"/>
      <c r="G102" s="26"/>
      <c r="H102" s="10"/>
      <c r="I102" s="10"/>
      <c r="J102" s="10"/>
      <c r="K102" s="1"/>
      <c r="M102" s="10"/>
      <c r="Q102" s="10"/>
      <c r="S102" s="1"/>
      <c r="T102" s="1"/>
      <c r="U102" s="1"/>
      <c r="V102" s="1"/>
      <c r="W102" s="1"/>
      <c r="X102" s="1"/>
      <c r="Y102" s="1"/>
      <c r="Z102" s="1"/>
    </row>
    <row r="103" spans="1:39" s="10" customFormat="1" x14ac:dyDescent="0.35">
      <c r="A103" s="10" t="s">
        <v>212</v>
      </c>
      <c r="B103" s="10" t="s">
        <v>1029</v>
      </c>
      <c r="C103" s="10" t="s">
        <v>213</v>
      </c>
      <c r="D103" s="10" t="s">
        <v>214</v>
      </c>
      <c r="E103" s="10" t="s">
        <v>1091</v>
      </c>
      <c r="F103" s="10" t="s">
        <v>1091</v>
      </c>
      <c r="G103" s="10" t="s">
        <v>53</v>
      </c>
      <c r="H103" s="10" t="s">
        <v>1078</v>
      </c>
      <c r="L103" s="10" t="s">
        <v>214</v>
      </c>
      <c r="M103" s="1"/>
      <c r="N103" s="10" t="s">
        <v>214</v>
      </c>
      <c r="O103" s="56"/>
      <c r="P103" s="1"/>
      <c r="Q103" s="59"/>
      <c r="T103" s="10">
        <v>1990</v>
      </c>
      <c r="U103" s="10">
        <v>2030</v>
      </c>
      <c r="V103" s="10">
        <v>0</v>
      </c>
      <c r="W103" s="10">
        <v>0</v>
      </c>
      <c r="X103" s="10" t="s">
        <v>51</v>
      </c>
      <c r="Y103" s="10" t="s">
        <v>51</v>
      </c>
      <c r="AB103" s="10">
        <v>1</v>
      </c>
      <c r="AC103" s="10">
        <v>2050</v>
      </c>
      <c r="AF103" s="10" t="s">
        <v>215</v>
      </c>
      <c r="AL103" s="10" t="s">
        <v>215</v>
      </c>
    </row>
    <row r="104" spans="1:39" s="10" customFormat="1" x14ac:dyDescent="0.35">
      <c r="A104" s="10" t="s">
        <v>212</v>
      </c>
      <c r="B104" s="10" t="s">
        <v>1030</v>
      </c>
      <c r="C104" s="10" t="s">
        <v>102</v>
      </c>
      <c r="D104" s="36">
        <v>55</v>
      </c>
      <c r="E104" s="10" t="s">
        <v>1091</v>
      </c>
      <c r="F104" s="10" t="s">
        <v>1091</v>
      </c>
      <c r="G104" s="10" t="s">
        <v>53</v>
      </c>
      <c r="H104" s="10" t="s">
        <v>1078</v>
      </c>
      <c r="L104" s="10">
        <v>55</v>
      </c>
      <c r="M104" s="1"/>
      <c r="N104" s="10">
        <v>55</v>
      </c>
      <c r="O104" s="56"/>
      <c r="P104" s="1"/>
      <c r="Q104" s="59"/>
      <c r="T104" s="10">
        <v>1990</v>
      </c>
      <c r="U104" s="10">
        <v>2030</v>
      </c>
      <c r="V104" s="10">
        <v>0</v>
      </c>
      <c r="W104" s="10">
        <v>0</v>
      </c>
      <c r="X104" s="10" t="s">
        <v>51</v>
      </c>
      <c r="Y104" s="10" t="s">
        <v>51</v>
      </c>
      <c r="AB104" s="10">
        <v>1</v>
      </c>
      <c r="AC104" s="10">
        <v>2050</v>
      </c>
      <c r="AF104" s="10" t="s">
        <v>215</v>
      </c>
      <c r="AL104" s="10" t="s">
        <v>104</v>
      </c>
    </row>
    <row r="105" spans="1:39" s="2" customFormat="1" hidden="1" x14ac:dyDescent="0.35">
      <c r="A105" s="2" t="s">
        <v>212</v>
      </c>
      <c r="B105" s="2" t="s">
        <v>1031</v>
      </c>
      <c r="C105" s="26"/>
      <c r="D105" s="26"/>
      <c r="E105" s="26"/>
      <c r="F105" s="26"/>
      <c r="G105" s="26"/>
      <c r="H105" s="10"/>
      <c r="I105" s="10"/>
      <c r="J105" s="10"/>
      <c r="K105" s="1"/>
      <c r="M105" s="10"/>
      <c r="Q105" s="10"/>
      <c r="S105" s="1"/>
      <c r="T105" s="1"/>
      <c r="U105" s="1"/>
      <c r="V105" s="1"/>
      <c r="W105" s="1"/>
      <c r="X105" s="1"/>
      <c r="Y105" s="1"/>
      <c r="Z105" s="1"/>
    </row>
    <row r="106" spans="1:39" s="2" customFormat="1" ht="18" hidden="1" x14ac:dyDescent="0.4">
      <c r="A106" s="2" t="s">
        <v>216</v>
      </c>
      <c r="B106" s="2" t="s">
        <v>1028</v>
      </c>
      <c r="C106" s="26" t="s">
        <v>217</v>
      </c>
      <c r="D106" s="26">
        <v>11.6</v>
      </c>
      <c r="E106" s="26"/>
      <c r="F106" s="26"/>
      <c r="G106" s="26"/>
      <c r="H106" s="10" t="s">
        <v>1077</v>
      </c>
      <c r="I106" s="10"/>
      <c r="J106" s="10"/>
      <c r="K106" s="1"/>
      <c r="L106" s="2">
        <v>11.6</v>
      </c>
      <c r="M106" s="10"/>
      <c r="N106" s="2">
        <v>6.6</v>
      </c>
      <c r="P106" s="2">
        <v>5</v>
      </c>
      <c r="Q106" s="10"/>
      <c r="S106" s="1" t="s">
        <v>45</v>
      </c>
      <c r="T106" s="1"/>
      <c r="U106" s="1">
        <v>2030</v>
      </c>
      <c r="V106" s="1">
        <v>1</v>
      </c>
      <c r="W106" s="1">
        <v>1</v>
      </c>
      <c r="X106" s="1" t="s">
        <v>32</v>
      </c>
      <c r="Y106" s="1" t="s">
        <v>32</v>
      </c>
      <c r="Z106" s="1"/>
      <c r="AB106" s="2">
        <v>0</v>
      </c>
      <c r="AF106" s="2" t="s">
        <v>218</v>
      </c>
      <c r="AI106" s="2" t="s">
        <v>219</v>
      </c>
      <c r="AJ106" s="2" t="s">
        <v>220</v>
      </c>
      <c r="AL106" s="2" t="s">
        <v>221</v>
      </c>
    </row>
    <row r="107" spans="1:39" s="10" customFormat="1" ht="18" x14ac:dyDescent="0.4">
      <c r="A107" s="10" t="s">
        <v>216</v>
      </c>
      <c r="B107" s="10" t="s">
        <v>1029</v>
      </c>
      <c r="C107" s="33">
        <v>42685</v>
      </c>
      <c r="D107" s="36">
        <v>11.6</v>
      </c>
      <c r="E107" s="10" t="s">
        <v>1096</v>
      </c>
      <c r="F107" s="10" t="s">
        <v>1099</v>
      </c>
      <c r="G107" s="10" t="s">
        <v>38</v>
      </c>
      <c r="H107" s="10" t="s">
        <v>1077</v>
      </c>
      <c r="L107" s="10">
        <v>11.6</v>
      </c>
      <c r="M107" s="1"/>
      <c r="N107" s="10">
        <v>6.6</v>
      </c>
      <c r="O107" s="56"/>
      <c r="P107" s="1">
        <v>5</v>
      </c>
      <c r="Q107" s="59"/>
      <c r="S107" s="10" t="s">
        <v>45</v>
      </c>
      <c r="U107" s="10">
        <v>2030</v>
      </c>
      <c r="V107" s="10">
        <v>1</v>
      </c>
      <c r="W107" s="10">
        <v>1</v>
      </c>
      <c r="X107" s="10" t="s">
        <v>32</v>
      </c>
      <c r="Y107" s="10" t="s">
        <v>32</v>
      </c>
      <c r="AB107" s="10">
        <v>0</v>
      </c>
      <c r="AF107" s="10" t="s">
        <v>222</v>
      </c>
      <c r="AI107" s="10" t="s">
        <v>219</v>
      </c>
      <c r="AJ107" s="10" t="s">
        <v>220</v>
      </c>
      <c r="AL107" s="10" t="s">
        <v>221</v>
      </c>
    </row>
    <row r="108" spans="1:39" s="10" customFormat="1" ht="17" x14ac:dyDescent="0.35">
      <c r="A108" s="10" t="s">
        <v>216</v>
      </c>
      <c r="B108" s="10" t="s">
        <v>1030</v>
      </c>
      <c r="C108" s="33">
        <v>44449</v>
      </c>
      <c r="D108" s="36">
        <v>29.42</v>
      </c>
      <c r="E108" s="10" t="s">
        <v>1114</v>
      </c>
      <c r="F108" s="10" t="s">
        <v>1105</v>
      </c>
      <c r="G108" s="10" t="s">
        <v>53</v>
      </c>
      <c r="H108" s="10" t="s">
        <v>1077</v>
      </c>
      <c r="L108" s="10">
        <v>29.42</v>
      </c>
      <c r="M108" s="1"/>
      <c r="N108" s="10">
        <v>19.600000000000001</v>
      </c>
      <c r="O108" s="56"/>
      <c r="P108" s="1">
        <v>9.82</v>
      </c>
      <c r="Q108" s="59"/>
      <c r="S108" s="10" t="s">
        <v>45</v>
      </c>
      <c r="U108" s="10">
        <v>2030</v>
      </c>
      <c r="V108" s="10">
        <v>1</v>
      </c>
      <c r="W108" s="10">
        <v>1</v>
      </c>
      <c r="X108" s="10" t="s">
        <v>32</v>
      </c>
      <c r="Y108" s="10" t="s">
        <v>32</v>
      </c>
      <c r="AB108" s="10">
        <v>0</v>
      </c>
      <c r="AF108" s="10" t="s">
        <v>135</v>
      </c>
      <c r="AG108" s="10" t="s">
        <v>223</v>
      </c>
      <c r="AI108" s="10" t="s">
        <v>224</v>
      </c>
      <c r="AJ108" s="10" t="s">
        <v>225</v>
      </c>
    </row>
    <row r="109" spans="1:39" s="2" customFormat="1" ht="17" hidden="1" x14ac:dyDescent="0.35">
      <c r="A109" s="2" t="s">
        <v>216</v>
      </c>
      <c r="B109" s="2" t="s">
        <v>1031</v>
      </c>
      <c r="C109" s="30" t="s">
        <v>1038</v>
      </c>
      <c r="D109" s="26">
        <v>30.87</v>
      </c>
      <c r="E109" s="26"/>
      <c r="F109" s="26"/>
      <c r="G109" s="26"/>
      <c r="H109" s="10" t="s">
        <v>1077</v>
      </c>
      <c r="I109" s="14"/>
      <c r="J109" s="14"/>
      <c r="K109" s="18"/>
      <c r="L109" s="2">
        <v>30.87</v>
      </c>
      <c r="M109" s="10"/>
      <c r="N109" s="2">
        <v>22.37</v>
      </c>
      <c r="P109" s="2">
        <v>8.5</v>
      </c>
      <c r="Q109" s="10"/>
      <c r="S109" s="1" t="s">
        <v>30</v>
      </c>
      <c r="T109" s="1"/>
      <c r="U109" s="1">
        <v>2030</v>
      </c>
      <c r="V109" s="1">
        <v>1</v>
      </c>
      <c r="W109" s="1">
        <v>1</v>
      </c>
      <c r="X109" s="1" t="s">
        <v>32</v>
      </c>
      <c r="Y109" s="1" t="s">
        <v>32</v>
      </c>
      <c r="Z109" s="1"/>
      <c r="AB109" s="2">
        <v>0</v>
      </c>
    </row>
    <row r="110" spans="1:39" s="2" customFormat="1" hidden="1" x14ac:dyDescent="0.35">
      <c r="A110" s="2" t="s">
        <v>226</v>
      </c>
      <c r="B110" s="2" t="s">
        <v>1028</v>
      </c>
      <c r="C110" s="26">
        <v>42105</v>
      </c>
      <c r="D110" s="26">
        <v>23</v>
      </c>
      <c r="E110" s="26"/>
      <c r="F110" s="26"/>
      <c r="G110" s="26"/>
      <c r="H110" s="10" t="s">
        <v>1077</v>
      </c>
      <c r="I110" s="10"/>
      <c r="J110" s="10"/>
      <c r="K110" s="1"/>
      <c r="L110" s="2">
        <v>23</v>
      </c>
      <c r="M110" s="10"/>
      <c r="N110" s="2">
        <v>3</v>
      </c>
      <c r="P110" s="2">
        <v>20</v>
      </c>
      <c r="Q110" s="10"/>
      <c r="S110" s="1" t="s">
        <v>45</v>
      </c>
      <c r="T110" s="1"/>
      <c r="U110" s="1">
        <v>2030</v>
      </c>
      <c r="V110" s="1">
        <v>1</v>
      </c>
      <c r="W110" s="1">
        <v>1</v>
      </c>
      <c r="X110" s="1" t="s">
        <v>32</v>
      </c>
      <c r="Y110" s="1" t="s">
        <v>32</v>
      </c>
      <c r="Z110" s="1"/>
      <c r="AB110" s="2">
        <v>0</v>
      </c>
      <c r="AF110" s="2" t="s">
        <v>227</v>
      </c>
      <c r="AJ110" s="2" t="s">
        <v>228</v>
      </c>
    </row>
    <row r="111" spans="1:39" s="10" customFormat="1" x14ac:dyDescent="0.35">
      <c r="A111" s="10" t="s">
        <v>226</v>
      </c>
      <c r="B111" s="10" t="s">
        <v>1029</v>
      </c>
      <c r="C111" s="10" t="s">
        <v>229</v>
      </c>
      <c r="D111" s="36">
        <v>23</v>
      </c>
      <c r="E111" s="10" t="s">
        <v>1120</v>
      </c>
      <c r="F111" s="10" t="s">
        <v>1099</v>
      </c>
      <c r="G111" s="10" t="s">
        <v>1117</v>
      </c>
      <c r="H111" s="10" t="s">
        <v>1077</v>
      </c>
      <c r="L111" s="10">
        <v>23</v>
      </c>
      <c r="M111" s="1"/>
      <c r="N111" s="10">
        <v>3</v>
      </c>
      <c r="O111" s="56"/>
      <c r="P111" s="1">
        <v>20</v>
      </c>
      <c r="Q111" s="59"/>
      <c r="S111" s="10" t="s">
        <v>45</v>
      </c>
      <c r="U111" s="10">
        <v>2030</v>
      </c>
      <c r="V111" s="10">
        <v>1</v>
      </c>
      <c r="W111" s="10">
        <v>1</v>
      </c>
      <c r="X111" s="10" t="s">
        <v>32</v>
      </c>
      <c r="Y111" s="10" t="s">
        <v>32</v>
      </c>
      <c r="AA111" s="10">
        <v>2025</v>
      </c>
      <c r="AB111" s="10">
        <v>0</v>
      </c>
      <c r="AF111" s="10" t="s">
        <v>227</v>
      </c>
      <c r="AJ111" s="10" t="s">
        <v>228</v>
      </c>
    </row>
    <row r="112" spans="1:39" s="10" customFormat="1" ht="17" x14ac:dyDescent="0.35">
      <c r="A112" s="10" t="s">
        <v>226</v>
      </c>
      <c r="B112" s="10" t="s">
        <v>1030</v>
      </c>
      <c r="C112" s="33">
        <v>44326</v>
      </c>
      <c r="D112" s="36">
        <v>15.65</v>
      </c>
      <c r="E112" s="10" t="s">
        <v>1121</v>
      </c>
      <c r="F112" s="10" t="s">
        <v>1099</v>
      </c>
      <c r="G112" s="10" t="s">
        <v>467</v>
      </c>
      <c r="H112" s="10" t="s">
        <v>1077</v>
      </c>
      <c r="L112" s="10">
        <v>15.65</v>
      </c>
      <c r="M112" s="1"/>
      <c r="N112" s="10">
        <v>3.04</v>
      </c>
      <c r="O112" s="56"/>
      <c r="P112" s="1">
        <v>12.61</v>
      </c>
      <c r="Q112" s="59"/>
      <c r="R112" s="10" t="s">
        <v>230</v>
      </c>
      <c r="S112" s="10" t="s">
        <v>30</v>
      </c>
      <c r="U112" s="10">
        <v>2030</v>
      </c>
      <c r="V112" s="10">
        <v>1</v>
      </c>
      <c r="W112" s="10">
        <v>1</v>
      </c>
      <c r="X112" s="10" t="s">
        <v>32</v>
      </c>
      <c r="Y112" s="10" t="s">
        <v>32</v>
      </c>
      <c r="AA112" s="10">
        <v>2025</v>
      </c>
      <c r="AB112" s="10">
        <v>0</v>
      </c>
      <c r="AF112" s="10" t="s">
        <v>227</v>
      </c>
      <c r="AI112" s="10" t="s">
        <v>231</v>
      </c>
      <c r="AJ112" s="10" t="s">
        <v>232</v>
      </c>
    </row>
    <row r="113" spans="1:38" s="2" customFormat="1" ht="17" hidden="1" x14ac:dyDescent="0.35">
      <c r="A113" s="2" t="s">
        <v>226</v>
      </c>
      <c r="B113" s="2" t="s">
        <v>1031</v>
      </c>
      <c r="C113" s="31">
        <v>45941</v>
      </c>
      <c r="D113" s="26">
        <v>23</v>
      </c>
      <c r="E113" s="26"/>
      <c r="F113" s="26"/>
      <c r="G113" s="26"/>
      <c r="H113" s="10" t="s">
        <v>1077</v>
      </c>
      <c r="I113" s="23"/>
      <c r="J113" s="23"/>
      <c r="K113" s="19"/>
      <c r="L113" s="2">
        <v>23</v>
      </c>
      <c r="M113" s="10"/>
      <c r="N113" s="2">
        <v>3</v>
      </c>
      <c r="P113" s="2">
        <v>20</v>
      </c>
      <c r="Q113" s="10"/>
      <c r="S113" s="1" t="s">
        <v>30</v>
      </c>
      <c r="T113" s="1"/>
      <c r="U113" s="1">
        <v>2030</v>
      </c>
      <c r="V113" s="1">
        <v>1</v>
      </c>
      <c r="W113" s="1">
        <v>1</v>
      </c>
      <c r="X113" s="1"/>
      <c r="Y113" s="1"/>
      <c r="Z113" s="1"/>
      <c r="AB113" s="2">
        <v>0</v>
      </c>
    </row>
    <row r="114" spans="1:38" s="2" customFormat="1" hidden="1" x14ac:dyDescent="0.35">
      <c r="A114" s="2" t="s">
        <v>233</v>
      </c>
      <c r="B114" s="2" t="s">
        <v>1028</v>
      </c>
      <c r="C114" s="26" t="s">
        <v>170</v>
      </c>
      <c r="D114" s="26"/>
      <c r="E114" s="26"/>
      <c r="F114" s="26"/>
      <c r="G114" s="26"/>
      <c r="H114" s="10"/>
      <c r="I114" s="10"/>
      <c r="J114" s="10"/>
      <c r="K114" s="1"/>
      <c r="M114" s="10"/>
      <c r="Q114" s="10"/>
      <c r="S114" s="1"/>
      <c r="T114" s="1"/>
      <c r="U114" s="1">
        <v>2030</v>
      </c>
      <c r="V114" s="1">
        <v>1</v>
      </c>
      <c r="W114" s="1">
        <v>1</v>
      </c>
      <c r="X114" s="1"/>
      <c r="Y114" s="1"/>
      <c r="Z114" s="1"/>
      <c r="AA114" s="2">
        <v>2025</v>
      </c>
      <c r="AB114" s="2">
        <v>0</v>
      </c>
      <c r="AF114" s="2" t="s">
        <v>234</v>
      </c>
      <c r="AL114" s="2" t="s">
        <v>235</v>
      </c>
    </row>
    <row r="115" spans="1:38" s="10" customFormat="1" x14ac:dyDescent="0.35">
      <c r="A115" s="10" t="s">
        <v>233</v>
      </c>
      <c r="B115" s="10" t="s">
        <v>1029</v>
      </c>
      <c r="C115" s="10" t="s">
        <v>236</v>
      </c>
      <c r="I115" s="22" t="s">
        <v>1085</v>
      </c>
      <c r="M115" s="1"/>
      <c r="O115" s="56"/>
      <c r="P115" s="1"/>
      <c r="Q115" s="59"/>
      <c r="V115" s="10">
        <v>1</v>
      </c>
      <c r="W115" s="10">
        <v>1</v>
      </c>
      <c r="AB115" s="10">
        <v>0</v>
      </c>
      <c r="AF115" s="10" t="s">
        <v>237</v>
      </c>
      <c r="AL115" s="10" t="s">
        <v>235</v>
      </c>
    </row>
    <row r="116" spans="1:38" s="10" customFormat="1" x14ac:dyDescent="0.35">
      <c r="A116" s="10" t="s">
        <v>233</v>
      </c>
      <c r="B116" s="10" t="s">
        <v>1030</v>
      </c>
      <c r="C116" s="10" t="s">
        <v>238</v>
      </c>
      <c r="D116" s="36">
        <v>24</v>
      </c>
      <c r="E116" s="10" t="s">
        <v>1096</v>
      </c>
      <c r="F116" s="10" t="s">
        <v>1099</v>
      </c>
      <c r="G116" s="10" t="s">
        <v>53</v>
      </c>
      <c r="H116" s="10" t="s">
        <v>1077</v>
      </c>
      <c r="L116" s="10">
        <v>24</v>
      </c>
      <c r="M116" s="1"/>
      <c r="N116" s="10">
        <v>18</v>
      </c>
      <c r="O116" s="56"/>
      <c r="P116" s="1">
        <v>6</v>
      </c>
      <c r="Q116" s="59"/>
      <c r="S116" s="10" t="s">
        <v>45</v>
      </c>
      <c r="U116" s="10">
        <v>2030</v>
      </c>
      <c r="V116" s="10">
        <v>1</v>
      </c>
      <c r="W116" s="10">
        <v>1</v>
      </c>
      <c r="X116" s="10" t="s">
        <v>32</v>
      </c>
      <c r="Y116" s="10" t="s">
        <v>32</v>
      </c>
      <c r="AB116" s="10">
        <v>0</v>
      </c>
      <c r="AF116" s="10" t="s">
        <v>237</v>
      </c>
      <c r="AG116" s="10" t="s">
        <v>239</v>
      </c>
      <c r="AL116" s="10" t="s">
        <v>240</v>
      </c>
    </row>
    <row r="117" spans="1:38" s="2" customFormat="1" hidden="1" x14ac:dyDescent="0.35">
      <c r="A117" s="2" t="s">
        <v>233</v>
      </c>
      <c r="B117" s="2" t="s">
        <v>1031</v>
      </c>
      <c r="C117" s="26"/>
      <c r="D117" s="26">
        <v>28</v>
      </c>
      <c r="E117" s="26"/>
      <c r="F117" s="26"/>
      <c r="G117" s="26"/>
      <c r="H117" s="10" t="s">
        <v>1077</v>
      </c>
      <c r="I117" s="10"/>
      <c r="J117" s="10"/>
      <c r="K117" s="1"/>
      <c r="L117" s="2">
        <v>28</v>
      </c>
      <c r="M117" s="10"/>
      <c r="N117" s="2">
        <v>18</v>
      </c>
      <c r="P117" s="2">
        <v>10</v>
      </c>
      <c r="Q117" s="10"/>
      <c r="S117" s="1" t="s">
        <v>30</v>
      </c>
      <c r="T117" s="1"/>
      <c r="U117" s="1">
        <v>2030</v>
      </c>
      <c r="V117" s="1">
        <v>1</v>
      </c>
      <c r="W117" s="1">
        <v>1</v>
      </c>
      <c r="X117" s="1"/>
      <c r="Y117" s="1"/>
      <c r="Z117" s="1"/>
      <c r="AB117" s="2">
        <v>0</v>
      </c>
    </row>
    <row r="118" spans="1:38" s="2" customFormat="1" hidden="1" x14ac:dyDescent="0.35">
      <c r="A118" s="2" t="s">
        <v>241</v>
      </c>
      <c r="B118" s="2" t="s">
        <v>1028</v>
      </c>
      <c r="C118" s="26" t="s">
        <v>140</v>
      </c>
      <c r="D118" s="26" t="s">
        <v>242</v>
      </c>
      <c r="E118" s="26"/>
      <c r="F118" s="26"/>
      <c r="G118" s="26" t="s">
        <v>129</v>
      </c>
      <c r="H118" s="10"/>
      <c r="I118" s="10"/>
      <c r="J118" s="10"/>
      <c r="K118" s="1"/>
      <c r="L118" s="2" t="s">
        <v>242</v>
      </c>
      <c r="M118" s="10"/>
      <c r="P118" s="2" t="s">
        <v>242</v>
      </c>
      <c r="Q118" s="10"/>
      <c r="S118" s="1" t="s">
        <v>45</v>
      </c>
      <c r="T118" s="1"/>
      <c r="U118" s="1">
        <v>2030</v>
      </c>
      <c r="V118" s="1">
        <v>1</v>
      </c>
      <c r="W118" s="1">
        <v>1</v>
      </c>
      <c r="X118" s="1" t="s">
        <v>32</v>
      </c>
      <c r="Y118" s="1" t="s">
        <v>32</v>
      </c>
      <c r="Z118" s="1"/>
      <c r="AB118" s="2">
        <v>0</v>
      </c>
      <c r="AF118" s="2" t="s">
        <v>243</v>
      </c>
      <c r="AL118" s="2" t="s">
        <v>244</v>
      </c>
    </row>
    <row r="119" spans="1:38" s="10" customFormat="1" ht="17" x14ac:dyDescent="0.35">
      <c r="A119" s="10" t="s">
        <v>241</v>
      </c>
      <c r="B119" s="10" t="s">
        <v>1029</v>
      </c>
      <c r="C119" s="33">
        <v>42888</v>
      </c>
      <c r="D119" s="10" t="s">
        <v>242</v>
      </c>
      <c r="E119" s="10" t="s">
        <v>1122</v>
      </c>
      <c r="F119" s="10" t="s">
        <v>1122</v>
      </c>
      <c r="G119" s="10" t="s">
        <v>129</v>
      </c>
      <c r="L119" s="10" t="s">
        <v>242</v>
      </c>
      <c r="M119" s="1"/>
      <c r="O119" s="56"/>
      <c r="P119" s="1" t="s">
        <v>242</v>
      </c>
      <c r="Q119" s="59"/>
      <c r="S119" s="10" t="s">
        <v>45</v>
      </c>
      <c r="U119" s="10">
        <v>2030</v>
      </c>
      <c r="V119" s="10">
        <v>1</v>
      </c>
      <c r="W119" s="10">
        <v>1</v>
      </c>
      <c r="X119" s="10" t="s">
        <v>32</v>
      </c>
      <c r="Y119" s="10" t="s">
        <v>32</v>
      </c>
      <c r="AB119" s="10">
        <v>0</v>
      </c>
      <c r="AF119" s="10" t="s">
        <v>243</v>
      </c>
      <c r="AL119" s="10" t="s">
        <v>244</v>
      </c>
    </row>
    <row r="120" spans="1:38" s="10" customFormat="1" x14ac:dyDescent="0.35">
      <c r="A120" s="10" t="s">
        <v>241</v>
      </c>
      <c r="B120" s="10" t="s">
        <v>1030</v>
      </c>
      <c r="C120" s="10" t="s">
        <v>210</v>
      </c>
      <c r="D120" s="10" t="s">
        <v>245</v>
      </c>
      <c r="E120" s="10" t="s">
        <v>1114</v>
      </c>
      <c r="F120" s="10" t="s">
        <v>1105</v>
      </c>
      <c r="G120" s="10" t="s">
        <v>129</v>
      </c>
      <c r="L120" s="10" t="s">
        <v>245</v>
      </c>
      <c r="M120" s="1"/>
      <c r="O120" s="56"/>
      <c r="P120" s="1" t="s">
        <v>245</v>
      </c>
      <c r="Q120" s="59"/>
      <c r="S120" s="10" t="s">
        <v>45</v>
      </c>
      <c r="U120" s="10">
        <v>2030</v>
      </c>
      <c r="V120" s="10">
        <v>1</v>
      </c>
      <c r="W120" s="10">
        <v>1</v>
      </c>
      <c r="X120" s="10" t="s">
        <v>32</v>
      </c>
      <c r="Y120" s="10" t="s">
        <v>32</v>
      </c>
      <c r="AB120" s="10">
        <v>0</v>
      </c>
      <c r="AF120" s="10" t="s">
        <v>246</v>
      </c>
      <c r="AG120" s="10" t="s">
        <v>247</v>
      </c>
      <c r="AL120" s="10" t="s">
        <v>248</v>
      </c>
    </row>
    <row r="121" spans="1:38" s="2" customFormat="1" ht="17" hidden="1" x14ac:dyDescent="0.35">
      <c r="A121" s="2" t="s">
        <v>241</v>
      </c>
      <c r="B121" s="2" t="s">
        <v>1031</v>
      </c>
      <c r="C121" s="31">
        <v>45877</v>
      </c>
      <c r="D121" s="26">
        <v>55</v>
      </c>
      <c r="E121" s="26"/>
      <c r="F121" s="26"/>
      <c r="G121" s="26"/>
      <c r="H121" s="10" t="s">
        <v>1077</v>
      </c>
      <c r="I121" s="23"/>
      <c r="J121" s="23"/>
      <c r="K121" s="19"/>
      <c r="L121" s="2">
        <v>55</v>
      </c>
      <c r="M121" s="10"/>
      <c r="N121" s="2">
        <v>16</v>
      </c>
      <c r="P121" s="2">
        <v>39</v>
      </c>
      <c r="Q121" s="10"/>
      <c r="S121" s="1" t="s">
        <v>30</v>
      </c>
      <c r="T121" s="1"/>
      <c r="U121" s="1">
        <v>2035</v>
      </c>
      <c r="V121" s="1">
        <v>1</v>
      </c>
      <c r="W121" s="1">
        <v>1</v>
      </c>
      <c r="X121" s="1"/>
      <c r="Y121" s="1"/>
      <c r="Z121" s="1"/>
      <c r="AB121" s="2">
        <v>0</v>
      </c>
    </row>
    <row r="122" spans="1:38" s="2" customFormat="1" hidden="1" x14ac:dyDescent="0.35">
      <c r="A122" s="2" t="s">
        <v>249</v>
      </c>
      <c r="B122" s="2" t="s">
        <v>1028</v>
      </c>
      <c r="C122" s="26" t="s">
        <v>156</v>
      </c>
      <c r="D122" s="26">
        <v>32</v>
      </c>
      <c r="E122" s="26"/>
      <c r="F122" s="26"/>
      <c r="G122" s="26"/>
      <c r="H122" s="2" t="s">
        <v>1076</v>
      </c>
      <c r="I122" s="10"/>
      <c r="J122" s="10"/>
      <c r="K122" s="1"/>
      <c r="L122" s="2">
        <v>32</v>
      </c>
      <c r="M122" s="10"/>
      <c r="P122" s="2">
        <v>32</v>
      </c>
      <c r="Q122" s="10"/>
      <c r="S122" s="1" t="s">
        <v>45</v>
      </c>
      <c r="T122" s="1"/>
      <c r="U122" s="1">
        <v>2035</v>
      </c>
      <c r="V122" s="1">
        <v>1</v>
      </c>
      <c r="W122" s="1">
        <v>1</v>
      </c>
      <c r="X122" s="1" t="s">
        <v>32</v>
      </c>
      <c r="Y122" s="1" t="s">
        <v>32</v>
      </c>
      <c r="Z122" s="1"/>
      <c r="AB122" s="2">
        <v>0</v>
      </c>
      <c r="AF122" s="2" t="s">
        <v>250</v>
      </c>
    </row>
    <row r="123" spans="1:38" s="10" customFormat="1" x14ac:dyDescent="0.35">
      <c r="A123" s="10" t="s">
        <v>249</v>
      </c>
      <c r="B123" s="10" t="s">
        <v>1029</v>
      </c>
      <c r="C123" s="10" t="s">
        <v>251</v>
      </c>
      <c r="D123" s="36">
        <v>32</v>
      </c>
      <c r="E123" s="10" t="s">
        <v>1097</v>
      </c>
      <c r="F123" s="10" t="s">
        <v>1097</v>
      </c>
      <c r="G123" s="10" t="s">
        <v>1118</v>
      </c>
      <c r="H123" s="10" t="s">
        <v>1076</v>
      </c>
      <c r="L123" s="10">
        <v>32</v>
      </c>
      <c r="M123" s="1"/>
      <c r="O123" s="56"/>
      <c r="P123" s="1">
        <v>32</v>
      </c>
      <c r="Q123" s="59"/>
      <c r="S123" s="10" t="s">
        <v>45</v>
      </c>
      <c r="U123" s="10">
        <v>2035</v>
      </c>
      <c r="V123" s="10">
        <v>1</v>
      </c>
      <c r="W123" s="10">
        <v>1</v>
      </c>
      <c r="X123" s="10" t="s">
        <v>32</v>
      </c>
      <c r="Y123" s="10" t="s">
        <v>32</v>
      </c>
      <c r="AB123" s="10">
        <v>0</v>
      </c>
      <c r="AF123" s="10" t="s">
        <v>250</v>
      </c>
      <c r="AJ123" s="10" t="s">
        <v>252</v>
      </c>
    </row>
    <row r="124" spans="1:38" s="10" customFormat="1" ht="17.5" x14ac:dyDescent="0.35">
      <c r="A124" s="10" t="s">
        <v>249</v>
      </c>
      <c r="B124" s="10" t="s">
        <v>1030</v>
      </c>
      <c r="C124" s="10" t="s">
        <v>253</v>
      </c>
      <c r="D124" s="10" t="s">
        <v>254</v>
      </c>
      <c r="E124" s="10" t="s">
        <v>1114</v>
      </c>
      <c r="F124" s="10" t="s">
        <v>1105</v>
      </c>
      <c r="G124" s="12" t="s">
        <v>129</v>
      </c>
      <c r="H124" s="10" t="s">
        <v>1077</v>
      </c>
      <c r="L124" s="10" t="s">
        <v>254</v>
      </c>
      <c r="M124" s="1"/>
      <c r="N124" s="10">
        <v>12</v>
      </c>
      <c r="O124" s="56"/>
      <c r="P124" s="1">
        <v>23</v>
      </c>
      <c r="Q124" s="59"/>
      <c r="S124" s="10" t="s">
        <v>45</v>
      </c>
      <c r="U124" s="10">
        <v>2030</v>
      </c>
      <c r="V124" s="10">
        <v>1</v>
      </c>
      <c r="W124" s="10">
        <v>1</v>
      </c>
      <c r="X124" s="10" t="s">
        <v>32</v>
      </c>
      <c r="Y124" s="10" t="s">
        <v>32</v>
      </c>
      <c r="AB124" s="10">
        <v>0</v>
      </c>
      <c r="AF124" s="10" t="s">
        <v>255</v>
      </c>
      <c r="AG124" s="10" t="s">
        <v>256</v>
      </c>
      <c r="AJ124" s="10" t="s">
        <v>257</v>
      </c>
      <c r="AL124" s="10" t="s">
        <v>258</v>
      </c>
    </row>
    <row r="125" spans="1:38" s="2" customFormat="1" hidden="1" x14ac:dyDescent="0.35">
      <c r="A125" s="2" t="s">
        <v>249</v>
      </c>
      <c r="B125" s="2" t="s">
        <v>1031</v>
      </c>
      <c r="C125" s="26"/>
      <c r="D125" s="26"/>
      <c r="E125" s="26"/>
      <c r="F125" s="26"/>
      <c r="G125" s="26"/>
      <c r="H125" s="10"/>
      <c r="I125" s="10"/>
      <c r="J125" s="10"/>
      <c r="K125" s="1"/>
      <c r="M125" s="10"/>
      <c r="Q125" s="10"/>
      <c r="S125" s="1"/>
      <c r="T125" s="1"/>
      <c r="U125" s="1"/>
      <c r="V125" s="1"/>
      <c r="W125" s="1"/>
      <c r="X125" s="1"/>
      <c r="Y125" s="1"/>
      <c r="Z125" s="1"/>
    </row>
    <row r="126" spans="1:38" s="2" customFormat="1" hidden="1" x14ac:dyDescent="0.35">
      <c r="A126" s="2" t="s">
        <v>259</v>
      </c>
      <c r="B126" s="2" t="s">
        <v>1028</v>
      </c>
      <c r="C126" s="26" t="s">
        <v>260</v>
      </c>
      <c r="D126" s="26">
        <v>30</v>
      </c>
      <c r="E126" s="26"/>
      <c r="F126" s="26"/>
      <c r="G126" s="26"/>
      <c r="H126" s="2" t="s">
        <v>1078</v>
      </c>
      <c r="I126" s="10"/>
      <c r="J126" s="10"/>
      <c r="K126" s="1"/>
      <c r="L126" s="2">
        <v>30</v>
      </c>
      <c r="M126" s="10"/>
      <c r="N126" s="2">
        <v>30</v>
      </c>
      <c r="Q126" s="10"/>
      <c r="S126" s="1"/>
      <c r="T126" s="1" t="s">
        <v>261</v>
      </c>
      <c r="U126" s="1">
        <v>2030</v>
      </c>
      <c r="V126" s="1">
        <v>0</v>
      </c>
      <c r="W126" s="1">
        <v>1</v>
      </c>
      <c r="X126" s="1"/>
      <c r="Y126" s="1"/>
      <c r="Z126" s="1"/>
      <c r="AB126" s="2">
        <v>0</v>
      </c>
      <c r="AF126" s="2" t="s">
        <v>262</v>
      </c>
    </row>
    <row r="127" spans="1:38" s="10" customFormat="1" ht="17" x14ac:dyDescent="0.35">
      <c r="A127" s="10" t="s">
        <v>259</v>
      </c>
      <c r="B127" s="10" t="s">
        <v>1029</v>
      </c>
      <c r="C127" s="33">
        <v>43044</v>
      </c>
      <c r="D127" s="36">
        <v>30</v>
      </c>
      <c r="E127" s="10" t="s">
        <v>1091</v>
      </c>
      <c r="F127" s="10" t="s">
        <v>1091</v>
      </c>
      <c r="G127" s="10" t="s">
        <v>1116</v>
      </c>
      <c r="H127" s="10" t="s">
        <v>1078</v>
      </c>
      <c r="L127" s="10">
        <v>30</v>
      </c>
      <c r="M127" s="1"/>
      <c r="N127" s="10">
        <v>30</v>
      </c>
      <c r="O127" s="56"/>
      <c r="P127" s="1"/>
      <c r="Q127" s="59"/>
      <c r="T127" s="10" t="s">
        <v>261</v>
      </c>
      <c r="U127" s="10">
        <v>2030</v>
      </c>
      <c r="V127" s="10">
        <v>0</v>
      </c>
      <c r="W127" s="10">
        <v>1</v>
      </c>
      <c r="X127" s="10" t="s">
        <v>51</v>
      </c>
      <c r="Y127" s="10" t="s">
        <v>51</v>
      </c>
      <c r="AB127" s="10">
        <v>0</v>
      </c>
      <c r="AF127" s="10" t="s">
        <v>262</v>
      </c>
    </row>
    <row r="128" spans="1:38" s="10" customFormat="1" ht="17" x14ac:dyDescent="0.35">
      <c r="A128" s="10" t="s">
        <v>259</v>
      </c>
      <c r="B128" s="10" t="s">
        <v>1030</v>
      </c>
      <c r="C128" s="33">
        <v>44507</v>
      </c>
      <c r="D128" s="36">
        <v>42.5</v>
      </c>
      <c r="E128" s="10" t="s">
        <v>1091</v>
      </c>
      <c r="F128" s="10" t="s">
        <v>1091</v>
      </c>
      <c r="G128" s="10" t="s">
        <v>53</v>
      </c>
      <c r="H128" s="10" t="s">
        <v>1078</v>
      </c>
      <c r="L128" s="10">
        <v>42.5</v>
      </c>
      <c r="M128" s="1"/>
      <c r="N128" s="10">
        <v>42.5</v>
      </c>
      <c r="O128" s="56"/>
      <c r="P128" s="1"/>
      <c r="Q128" s="59"/>
      <c r="T128" s="10">
        <v>2005</v>
      </c>
      <c r="U128" s="10">
        <v>2030</v>
      </c>
      <c r="V128" s="10">
        <v>0</v>
      </c>
      <c r="W128" s="10">
        <v>1</v>
      </c>
      <c r="X128" s="10" t="s">
        <v>51</v>
      </c>
      <c r="Y128" s="10" t="s">
        <v>51</v>
      </c>
      <c r="AB128" s="10">
        <v>0</v>
      </c>
      <c r="AF128" s="22" t="s">
        <v>1123</v>
      </c>
    </row>
    <row r="129" spans="1:38" s="2" customFormat="1" ht="17" hidden="1" x14ac:dyDescent="0.35">
      <c r="A129" s="2" t="s">
        <v>259</v>
      </c>
      <c r="B129" s="2" t="s">
        <v>1031</v>
      </c>
      <c r="C129" s="31">
        <v>45993</v>
      </c>
      <c r="D129" s="26">
        <v>47.5</v>
      </c>
      <c r="E129" s="26"/>
      <c r="F129" s="26"/>
      <c r="G129" s="26"/>
      <c r="H129" s="2" t="s">
        <v>1078</v>
      </c>
      <c r="I129" s="23"/>
      <c r="J129" s="23"/>
      <c r="K129" s="19"/>
      <c r="L129" s="2">
        <v>47.5</v>
      </c>
      <c r="M129" s="10"/>
      <c r="N129" s="2">
        <v>47.5</v>
      </c>
      <c r="Q129" s="10"/>
      <c r="S129" s="1"/>
      <c r="T129" s="1">
        <v>2005</v>
      </c>
      <c r="U129" s="1">
        <v>2035</v>
      </c>
      <c r="V129" s="1">
        <v>0</v>
      </c>
      <c r="W129" s="1">
        <v>1</v>
      </c>
      <c r="X129" s="1" t="s">
        <v>51</v>
      </c>
      <c r="Y129" s="1" t="s">
        <v>51</v>
      </c>
      <c r="Z129" s="1"/>
      <c r="AB129" s="2">
        <v>0</v>
      </c>
    </row>
    <row r="130" spans="1:38" s="2" customFormat="1" hidden="1" x14ac:dyDescent="0.35">
      <c r="A130" s="2" t="s">
        <v>263</v>
      </c>
      <c r="B130" s="2" t="s">
        <v>1028</v>
      </c>
      <c r="C130" s="26" t="s">
        <v>199</v>
      </c>
      <c r="D130" s="26">
        <v>5</v>
      </c>
      <c r="E130" s="26"/>
      <c r="F130" s="26"/>
      <c r="G130" s="26"/>
      <c r="H130" s="10" t="s">
        <v>1077</v>
      </c>
      <c r="I130" s="10"/>
      <c r="J130" s="10"/>
      <c r="K130" s="1"/>
      <c r="L130" s="2">
        <v>5</v>
      </c>
      <c r="M130" s="10"/>
      <c r="Q130" s="10"/>
      <c r="S130" s="1" t="s">
        <v>45</v>
      </c>
      <c r="T130" s="1"/>
      <c r="U130" s="1">
        <v>2030</v>
      </c>
      <c r="V130" s="1">
        <v>0</v>
      </c>
      <c r="W130" s="1">
        <v>1</v>
      </c>
      <c r="X130" s="1" t="s">
        <v>32</v>
      </c>
      <c r="Y130" s="1" t="s">
        <v>32</v>
      </c>
      <c r="Z130" s="1"/>
      <c r="AA130" s="2">
        <v>2030</v>
      </c>
      <c r="AB130" s="2">
        <v>0</v>
      </c>
      <c r="AF130" s="2" t="s">
        <v>264</v>
      </c>
    </row>
    <row r="131" spans="1:38" s="10" customFormat="1" ht="17" x14ac:dyDescent="0.35">
      <c r="A131" s="10" t="s">
        <v>263</v>
      </c>
      <c r="B131" s="10" t="s">
        <v>1029</v>
      </c>
      <c r="C131" s="33">
        <v>42684</v>
      </c>
      <c r="D131" s="36">
        <v>5</v>
      </c>
      <c r="E131" s="10" t="s">
        <v>1114</v>
      </c>
      <c r="F131" s="10" t="s">
        <v>1105</v>
      </c>
      <c r="G131" s="10" t="s">
        <v>38</v>
      </c>
      <c r="H131" s="10" t="s">
        <v>1077</v>
      </c>
      <c r="I131" s="23"/>
      <c r="J131" s="23"/>
      <c r="K131" s="23"/>
      <c r="L131" s="10">
        <v>5</v>
      </c>
      <c r="M131" s="1"/>
      <c r="O131" s="56"/>
      <c r="P131" s="1"/>
      <c r="Q131" s="59"/>
      <c r="S131" s="10" t="s">
        <v>45</v>
      </c>
      <c r="U131" s="10">
        <v>2030</v>
      </c>
      <c r="V131" s="10">
        <v>0</v>
      </c>
      <c r="W131" s="10">
        <v>1</v>
      </c>
      <c r="X131" s="10" t="s">
        <v>32</v>
      </c>
      <c r="Y131" s="10" t="s">
        <v>32</v>
      </c>
      <c r="AA131" s="10">
        <v>2030</v>
      </c>
      <c r="AB131" s="10">
        <v>0</v>
      </c>
      <c r="AF131" s="10" t="s">
        <v>264</v>
      </c>
      <c r="AL131" s="10" t="s">
        <v>265</v>
      </c>
    </row>
    <row r="132" spans="1:38" s="10" customFormat="1" x14ac:dyDescent="0.35">
      <c r="A132" s="10" t="s">
        <v>263</v>
      </c>
      <c r="B132" s="10" t="s">
        <v>1030</v>
      </c>
      <c r="C132" s="10" t="s">
        <v>266</v>
      </c>
      <c r="D132" s="36">
        <v>24.28</v>
      </c>
      <c r="E132" s="10" t="s">
        <v>1096</v>
      </c>
      <c r="F132" s="10" t="s">
        <v>1099</v>
      </c>
      <c r="G132" s="10" t="s">
        <v>48</v>
      </c>
      <c r="H132" s="10" t="s">
        <v>1077</v>
      </c>
      <c r="L132" s="10">
        <v>24.28</v>
      </c>
      <c r="M132" s="1"/>
      <c r="N132" s="10">
        <v>14.64</v>
      </c>
      <c r="O132" s="56"/>
      <c r="P132" s="1">
        <v>10.56</v>
      </c>
      <c r="Q132" s="59"/>
      <c r="R132" s="10" t="s">
        <v>267</v>
      </c>
      <c r="S132" s="10" t="s">
        <v>45</v>
      </c>
      <c r="U132" s="10">
        <v>2030</v>
      </c>
      <c r="V132" s="10">
        <v>0</v>
      </c>
      <c r="W132" s="10">
        <v>1</v>
      </c>
      <c r="X132" s="10" t="s">
        <v>32</v>
      </c>
      <c r="Y132" s="10" t="s">
        <v>32</v>
      </c>
      <c r="AA132" s="10">
        <v>2025</v>
      </c>
      <c r="AB132" s="10">
        <v>0</v>
      </c>
      <c r="AF132" s="10" t="s">
        <v>268</v>
      </c>
      <c r="AG132" s="10" t="s">
        <v>269</v>
      </c>
      <c r="AL132" s="10" t="s">
        <v>270</v>
      </c>
    </row>
    <row r="133" spans="1:38" s="2" customFormat="1" ht="17" hidden="1" x14ac:dyDescent="0.35">
      <c r="A133" s="2" t="s">
        <v>263</v>
      </c>
      <c r="B133" s="2" t="s">
        <v>1031</v>
      </c>
      <c r="C133" s="31">
        <v>46268</v>
      </c>
      <c r="D133" s="26">
        <v>27.5</v>
      </c>
      <c r="E133" s="26"/>
      <c r="F133" s="26"/>
      <c r="G133" s="26"/>
      <c r="H133" s="10" t="s">
        <v>1077</v>
      </c>
      <c r="I133" s="23"/>
      <c r="J133" s="23"/>
      <c r="K133" s="19"/>
      <c r="L133" s="2">
        <v>27.5</v>
      </c>
      <c r="M133" s="10"/>
      <c r="N133" s="2">
        <v>10.5</v>
      </c>
      <c r="P133" s="2">
        <v>17</v>
      </c>
      <c r="Q133" s="10"/>
      <c r="S133" s="1" t="s">
        <v>30</v>
      </c>
      <c r="T133" s="1"/>
      <c r="U133" s="1">
        <v>2035</v>
      </c>
      <c r="V133" s="1">
        <v>0</v>
      </c>
      <c r="W133" s="1">
        <v>1</v>
      </c>
      <c r="X133" s="1"/>
      <c r="Y133" s="1"/>
      <c r="Z133" s="1"/>
      <c r="AB133" s="2">
        <v>0</v>
      </c>
    </row>
    <row r="134" spans="1:38" s="2" customFormat="1" hidden="1" x14ac:dyDescent="0.35">
      <c r="A134" s="2" t="s">
        <v>271</v>
      </c>
      <c r="B134" s="2" t="s">
        <v>1028</v>
      </c>
      <c r="C134" s="26">
        <v>42014</v>
      </c>
      <c r="D134" s="26" t="s">
        <v>272</v>
      </c>
      <c r="E134" s="26"/>
      <c r="F134" s="26"/>
      <c r="G134" s="26" t="s">
        <v>157</v>
      </c>
      <c r="H134" s="10" t="s">
        <v>1077</v>
      </c>
      <c r="I134" s="10"/>
      <c r="J134" s="10"/>
      <c r="K134" s="1"/>
      <c r="L134" s="2" t="s">
        <v>272</v>
      </c>
      <c r="M134" s="10"/>
      <c r="N134" s="2">
        <v>18.2</v>
      </c>
      <c r="P134" s="2">
        <v>52.8</v>
      </c>
      <c r="Q134" s="10"/>
      <c r="S134" s="1" t="s">
        <v>45</v>
      </c>
      <c r="T134" s="1"/>
      <c r="U134" s="1">
        <v>2030</v>
      </c>
      <c r="V134" s="1">
        <v>1</v>
      </c>
      <c r="W134" s="1">
        <v>1</v>
      </c>
      <c r="X134" s="1" t="s">
        <v>32</v>
      </c>
      <c r="Y134" s="1" t="s">
        <v>32</v>
      </c>
      <c r="Z134" s="1"/>
      <c r="AB134" s="2">
        <v>0</v>
      </c>
      <c r="AF134" s="2" t="s">
        <v>273</v>
      </c>
      <c r="AL134" s="2" t="s">
        <v>274</v>
      </c>
    </row>
    <row r="135" spans="1:38" s="10" customFormat="1" ht="17" x14ac:dyDescent="0.35">
      <c r="A135" s="10" t="s">
        <v>271</v>
      </c>
      <c r="B135" s="10" t="s">
        <v>1029</v>
      </c>
      <c r="C135" s="33">
        <v>43070</v>
      </c>
      <c r="D135" s="10" t="s">
        <v>272</v>
      </c>
      <c r="E135" s="10" t="s">
        <v>1096</v>
      </c>
      <c r="F135" s="10" t="s">
        <v>1099</v>
      </c>
      <c r="G135" s="10" t="s">
        <v>157</v>
      </c>
      <c r="H135" s="10" t="s">
        <v>1077</v>
      </c>
      <c r="L135" s="10" t="s">
        <v>272</v>
      </c>
      <c r="M135" s="1"/>
      <c r="N135" s="10">
        <v>18.2</v>
      </c>
      <c r="O135" s="56"/>
      <c r="P135" s="1">
        <v>52.8</v>
      </c>
      <c r="Q135" s="59"/>
      <c r="S135" s="10" t="s">
        <v>45</v>
      </c>
      <c r="U135" s="10">
        <v>2030</v>
      </c>
      <c r="V135" s="10">
        <v>1</v>
      </c>
      <c r="W135" s="10">
        <v>1</v>
      </c>
      <c r="X135" s="10" t="s">
        <v>32</v>
      </c>
      <c r="Y135" s="10" t="s">
        <v>32</v>
      </c>
      <c r="AB135" s="10">
        <v>0</v>
      </c>
      <c r="AF135" s="10" t="s">
        <v>273</v>
      </c>
      <c r="AJ135" s="10" t="s">
        <v>275</v>
      </c>
      <c r="AL135" s="10" t="s">
        <v>274</v>
      </c>
    </row>
    <row r="136" spans="1:38" s="10" customFormat="1" x14ac:dyDescent="0.35">
      <c r="A136" s="10" t="s">
        <v>271</v>
      </c>
      <c r="B136" s="10" t="s">
        <v>1030</v>
      </c>
      <c r="C136" s="10" t="s">
        <v>276</v>
      </c>
      <c r="D136" s="36">
        <v>19.3</v>
      </c>
      <c r="E136" s="10" t="s">
        <v>1096</v>
      </c>
      <c r="F136" s="10" t="s">
        <v>1099</v>
      </c>
      <c r="G136" s="10" t="s">
        <v>53</v>
      </c>
      <c r="H136" s="10" t="s">
        <v>1077</v>
      </c>
      <c r="L136" s="10">
        <v>19.3</v>
      </c>
      <c r="M136" s="1"/>
      <c r="N136" s="10">
        <v>0.5</v>
      </c>
      <c r="O136" s="56"/>
      <c r="P136" s="1">
        <v>17.8</v>
      </c>
      <c r="Q136" s="59"/>
      <c r="S136" s="10" t="s">
        <v>45</v>
      </c>
      <c r="U136" s="10">
        <v>2030</v>
      </c>
      <c r="V136" s="10">
        <v>1</v>
      </c>
      <c r="W136" s="10">
        <v>1</v>
      </c>
      <c r="X136" s="10" t="s">
        <v>32</v>
      </c>
      <c r="Y136" s="10" t="s">
        <v>32</v>
      </c>
      <c r="AB136" s="10">
        <v>0</v>
      </c>
      <c r="AF136" s="10" t="s">
        <v>277</v>
      </c>
      <c r="AG136" s="10" t="s">
        <v>278</v>
      </c>
      <c r="AJ136" s="10" t="s">
        <v>279</v>
      </c>
      <c r="AL136" s="10" t="s">
        <v>280</v>
      </c>
    </row>
    <row r="137" spans="1:38" s="2" customFormat="1" hidden="1" x14ac:dyDescent="0.35">
      <c r="A137" s="2" t="s">
        <v>271</v>
      </c>
      <c r="B137" s="2" t="s">
        <v>1031</v>
      </c>
      <c r="C137" s="26"/>
      <c r="D137" s="26"/>
      <c r="E137" s="26"/>
      <c r="F137" s="26"/>
      <c r="G137" s="26"/>
      <c r="H137" s="10"/>
      <c r="I137" s="10"/>
      <c r="J137" s="10"/>
      <c r="K137" s="1"/>
      <c r="M137" s="10"/>
      <c r="Q137" s="10"/>
      <c r="S137" s="1"/>
      <c r="T137" s="1"/>
      <c r="U137" s="1"/>
      <c r="V137" s="1"/>
      <c r="W137" s="1"/>
      <c r="X137" s="1"/>
      <c r="Y137" s="1"/>
      <c r="Z137" s="1"/>
    </row>
    <row r="138" spans="1:38" s="2" customFormat="1" ht="17" hidden="1" x14ac:dyDescent="0.35">
      <c r="A138" s="2" t="s">
        <v>281</v>
      </c>
      <c r="B138" s="2" t="s">
        <v>1028</v>
      </c>
      <c r="C138" s="31">
        <v>42491</v>
      </c>
      <c r="D138" s="26">
        <v>40</v>
      </c>
      <c r="E138" s="26"/>
      <c r="F138" s="26"/>
      <c r="G138" s="26"/>
      <c r="H138" s="10" t="s">
        <v>1077</v>
      </c>
      <c r="I138" s="23"/>
      <c r="J138" s="23"/>
      <c r="K138" s="19"/>
      <c r="L138" s="2">
        <v>40</v>
      </c>
      <c r="M138" s="10"/>
      <c r="N138" s="2">
        <v>30</v>
      </c>
      <c r="P138" s="2">
        <v>10</v>
      </c>
      <c r="Q138" s="10"/>
      <c r="S138" s="1"/>
      <c r="T138" s="1">
        <v>2007</v>
      </c>
      <c r="U138" s="1">
        <v>2030</v>
      </c>
      <c r="V138" s="1">
        <v>1</v>
      </c>
      <c r="W138" s="1">
        <v>1</v>
      </c>
      <c r="X138" s="1" t="s">
        <v>51</v>
      </c>
      <c r="Y138" s="2" t="s">
        <v>283</v>
      </c>
      <c r="AB138" s="2">
        <v>0</v>
      </c>
      <c r="AF138" s="2" t="s">
        <v>282</v>
      </c>
    </row>
    <row r="139" spans="1:38" s="10" customFormat="1" x14ac:dyDescent="0.35">
      <c r="A139" s="10" t="s">
        <v>281</v>
      </c>
      <c r="B139" s="10" t="s">
        <v>1029</v>
      </c>
      <c r="C139" s="10" t="s">
        <v>284</v>
      </c>
      <c r="D139" s="36">
        <v>40</v>
      </c>
      <c r="E139" s="10" t="s">
        <v>1096</v>
      </c>
      <c r="F139" s="10" t="s">
        <v>1099</v>
      </c>
      <c r="G139" s="10" t="s">
        <v>1116</v>
      </c>
      <c r="H139" s="10" t="s">
        <v>1077</v>
      </c>
      <c r="L139" s="10">
        <v>40</v>
      </c>
      <c r="M139" s="1"/>
      <c r="N139" s="10">
        <v>30</v>
      </c>
      <c r="O139" s="56"/>
      <c r="P139" s="1">
        <v>10</v>
      </c>
      <c r="Q139" s="59"/>
      <c r="T139" s="10">
        <v>2007</v>
      </c>
      <c r="U139" s="10">
        <v>2030</v>
      </c>
      <c r="V139" s="10">
        <v>1</v>
      </c>
      <c r="W139" s="10">
        <v>1</v>
      </c>
      <c r="X139" s="10" t="s">
        <v>51</v>
      </c>
      <c r="Y139" s="10" t="s">
        <v>283</v>
      </c>
      <c r="AB139" s="10">
        <v>0</v>
      </c>
      <c r="AF139" s="10" t="s">
        <v>282</v>
      </c>
    </row>
    <row r="140" spans="1:38" s="10" customFormat="1" ht="17" x14ac:dyDescent="0.35">
      <c r="A140" s="10" t="s">
        <v>281</v>
      </c>
      <c r="B140" s="10" t="s">
        <v>1030</v>
      </c>
      <c r="C140" s="33">
        <v>44047</v>
      </c>
      <c r="D140" s="36"/>
      <c r="E140" s="10" t="s">
        <v>1104</v>
      </c>
      <c r="F140" s="10" t="s">
        <v>1091</v>
      </c>
      <c r="G140" s="10" t="s">
        <v>129</v>
      </c>
      <c r="H140" s="10" t="s">
        <v>1078</v>
      </c>
      <c r="I140" s="23"/>
      <c r="J140" s="23"/>
      <c r="K140" s="23"/>
      <c r="M140" s="1" t="s">
        <v>285</v>
      </c>
      <c r="O140" s="56"/>
      <c r="P140" s="1"/>
      <c r="Q140" s="59"/>
      <c r="U140" s="10">
        <v>2030</v>
      </c>
      <c r="X140" s="10" t="s">
        <v>78</v>
      </c>
      <c r="Y140" s="10" t="s">
        <v>51</v>
      </c>
      <c r="AB140" s="10">
        <v>1</v>
      </c>
      <c r="AC140" s="10">
        <v>2050</v>
      </c>
      <c r="AF140" s="10" t="s">
        <v>282</v>
      </c>
      <c r="AG140" s="10" t="s">
        <v>286</v>
      </c>
      <c r="AL140" s="10" t="s">
        <v>287</v>
      </c>
    </row>
    <row r="141" spans="1:38" s="2" customFormat="1" ht="17" hidden="1" x14ac:dyDescent="0.35">
      <c r="A141" s="2" t="s">
        <v>281</v>
      </c>
      <c r="B141" s="2" t="s">
        <v>1031</v>
      </c>
      <c r="C141" s="30" t="s">
        <v>1039</v>
      </c>
      <c r="D141" s="26"/>
      <c r="E141" s="26"/>
      <c r="F141" s="26"/>
      <c r="G141" s="26"/>
      <c r="H141" s="2" t="s">
        <v>1078</v>
      </c>
      <c r="I141" s="14"/>
      <c r="J141" s="14"/>
      <c r="K141" s="18"/>
      <c r="M141" s="10">
        <v>95000</v>
      </c>
      <c r="O141" s="2">
        <v>95000</v>
      </c>
      <c r="Q141" s="10"/>
      <c r="S141" s="1"/>
      <c r="T141" s="1"/>
      <c r="U141" s="1">
        <v>2030</v>
      </c>
      <c r="V141" s="1">
        <v>1</v>
      </c>
      <c r="W141" s="1">
        <v>1</v>
      </c>
      <c r="X141" s="1" t="s">
        <v>78</v>
      </c>
      <c r="Y141" s="1" t="s">
        <v>78</v>
      </c>
      <c r="Z141" s="1" t="s">
        <v>1073</v>
      </c>
      <c r="AB141" s="2">
        <v>0</v>
      </c>
    </row>
    <row r="142" spans="1:38" s="2" customFormat="1" hidden="1" x14ac:dyDescent="0.35">
      <c r="A142" s="2" t="s">
        <v>288</v>
      </c>
      <c r="B142" s="2" t="s">
        <v>1028</v>
      </c>
      <c r="C142" s="26" t="s">
        <v>289</v>
      </c>
      <c r="D142" s="26">
        <v>62.5</v>
      </c>
      <c r="E142" s="26"/>
      <c r="F142" s="26"/>
      <c r="G142" s="26" t="s">
        <v>129</v>
      </c>
      <c r="H142" s="2" t="s">
        <v>1078</v>
      </c>
      <c r="I142" s="10"/>
      <c r="J142" s="10"/>
      <c r="K142" s="1"/>
      <c r="L142" s="2">
        <v>62.5</v>
      </c>
      <c r="M142" s="10"/>
      <c r="N142" s="2">
        <v>62.5</v>
      </c>
      <c r="Q142" s="10"/>
      <c r="S142" s="1"/>
      <c r="T142" s="1">
        <v>2005</v>
      </c>
      <c r="U142" s="1">
        <v>2030</v>
      </c>
      <c r="V142" s="1">
        <v>0</v>
      </c>
      <c r="W142" s="1">
        <v>1</v>
      </c>
      <c r="X142" s="1" t="s">
        <v>51</v>
      </c>
      <c r="Y142" s="2" t="s">
        <v>283</v>
      </c>
      <c r="AB142" s="2">
        <v>0</v>
      </c>
      <c r="AF142" s="2" t="s">
        <v>290</v>
      </c>
      <c r="AL142" s="2" t="s">
        <v>291</v>
      </c>
    </row>
    <row r="143" spans="1:38" s="10" customFormat="1" ht="17" x14ac:dyDescent="0.35">
      <c r="A143" s="10" t="s">
        <v>288</v>
      </c>
      <c r="B143" s="10" t="s">
        <v>1029</v>
      </c>
      <c r="C143" s="33">
        <v>42438</v>
      </c>
      <c r="D143" s="36">
        <v>62.5</v>
      </c>
      <c r="E143" s="10" t="s">
        <v>1091</v>
      </c>
      <c r="F143" s="10" t="s">
        <v>1091</v>
      </c>
      <c r="G143" s="10" t="s">
        <v>129</v>
      </c>
      <c r="H143" s="10" t="s">
        <v>1078</v>
      </c>
      <c r="I143" s="23"/>
      <c r="J143" s="23"/>
      <c r="K143" s="23"/>
      <c r="L143" s="10">
        <v>62.5</v>
      </c>
      <c r="M143" s="1"/>
      <c r="N143" s="10">
        <v>62.6</v>
      </c>
      <c r="O143" s="56"/>
      <c r="P143" s="1"/>
      <c r="Q143" s="59"/>
      <c r="T143" s="10">
        <v>2005</v>
      </c>
      <c r="U143" s="10">
        <v>2030</v>
      </c>
      <c r="V143" s="10">
        <v>0</v>
      </c>
      <c r="W143" s="10">
        <v>1</v>
      </c>
      <c r="X143" s="10" t="s">
        <v>51</v>
      </c>
      <c r="Y143" s="10" t="s">
        <v>283</v>
      </c>
      <c r="AB143" s="10">
        <v>0</v>
      </c>
      <c r="AF143" s="10" t="s">
        <v>290</v>
      </c>
      <c r="AL143" s="10" t="s">
        <v>291</v>
      </c>
    </row>
    <row r="144" spans="1:38" s="10" customFormat="1" x14ac:dyDescent="0.35">
      <c r="A144" s="10" t="s">
        <v>288</v>
      </c>
      <c r="B144" s="10" t="s">
        <v>1030</v>
      </c>
      <c r="C144" s="10" t="s">
        <v>292</v>
      </c>
      <c r="D144" s="10" t="s">
        <v>293</v>
      </c>
      <c r="E144" s="10" t="s">
        <v>1091</v>
      </c>
      <c r="F144" s="10" t="s">
        <v>1091</v>
      </c>
      <c r="G144" s="10" t="s">
        <v>53</v>
      </c>
      <c r="H144" s="10" t="s">
        <v>1078</v>
      </c>
      <c r="L144" s="10" t="s">
        <v>293</v>
      </c>
      <c r="M144" s="1"/>
      <c r="N144" s="10" t="s">
        <v>293</v>
      </c>
      <c r="O144" s="56"/>
      <c r="P144" s="1"/>
      <c r="Q144" s="59"/>
      <c r="T144" s="10">
        <v>2005</v>
      </c>
      <c r="U144" s="10">
        <v>2030</v>
      </c>
      <c r="V144" s="10">
        <v>0</v>
      </c>
      <c r="W144" s="10">
        <v>1</v>
      </c>
      <c r="X144" s="10" t="s">
        <v>51</v>
      </c>
      <c r="Y144" s="10" t="s">
        <v>283</v>
      </c>
      <c r="AB144" s="10">
        <v>0</v>
      </c>
      <c r="AF144" s="10" t="s">
        <v>294</v>
      </c>
      <c r="AG144" s="10" t="s">
        <v>295</v>
      </c>
      <c r="AL144" s="10" t="s">
        <v>296</v>
      </c>
    </row>
    <row r="145" spans="1:38" s="2" customFormat="1" ht="17" hidden="1" x14ac:dyDescent="0.35">
      <c r="A145" s="2" t="s">
        <v>288</v>
      </c>
      <c r="B145" s="2" t="s">
        <v>1031</v>
      </c>
      <c r="C145" s="31">
        <v>45727</v>
      </c>
      <c r="D145" s="26">
        <v>8.5</v>
      </c>
      <c r="E145" s="26"/>
      <c r="F145" s="26"/>
      <c r="G145" s="26"/>
      <c r="H145" s="2" t="s">
        <v>1078</v>
      </c>
      <c r="I145" s="23"/>
      <c r="J145" s="23"/>
      <c r="K145" s="19"/>
      <c r="L145" s="2">
        <v>8.5</v>
      </c>
      <c r="M145" s="10"/>
      <c r="N145" s="2">
        <v>8.5</v>
      </c>
      <c r="Q145" s="10"/>
      <c r="S145" s="1"/>
      <c r="T145" s="1">
        <v>2005</v>
      </c>
      <c r="U145" s="1">
        <v>2035</v>
      </c>
      <c r="V145" s="1">
        <v>0</v>
      </c>
      <c r="W145" s="1">
        <v>1</v>
      </c>
      <c r="X145" s="1" t="s">
        <v>51</v>
      </c>
      <c r="Y145" s="1" t="s">
        <v>51</v>
      </c>
      <c r="Z145" s="1"/>
      <c r="AB145" s="2">
        <v>0</v>
      </c>
    </row>
    <row r="146" spans="1:38" s="2" customFormat="1" hidden="1" x14ac:dyDescent="0.35">
      <c r="A146" s="2" t="s">
        <v>297</v>
      </c>
      <c r="B146" s="2" t="s">
        <v>1028</v>
      </c>
      <c r="C146" s="26" t="s">
        <v>298</v>
      </c>
      <c r="D146" s="26">
        <v>30</v>
      </c>
      <c r="E146" s="26"/>
      <c r="F146" s="26"/>
      <c r="G146" s="26"/>
      <c r="H146" s="10" t="s">
        <v>1077</v>
      </c>
      <c r="I146" s="10"/>
      <c r="J146" s="10"/>
      <c r="K146" s="1"/>
      <c r="L146" s="2">
        <v>30</v>
      </c>
      <c r="M146" s="10"/>
      <c r="N146" s="2">
        <v>20</v>
      </c>
      <c r="P146" s="2">
        <v>10</v>
      </c>
      <c r="Q146" s="10"/>
      <c r="S146" s="1" t="s">
        <v>45</v>
      </c>
      <c r="T146" s="1"/>
      <c r="U146" s="1">
        <v>2030</v>
      </c>
      <c r="V146" s="1">
        <v>1</v>
      </c>
      <c r="W146" s="1">
        <v>1</v>
      </c>
      <c r="X146" s="1" t="s">
        <v>32</v>
      </c>
      <c r="Y146" s="1" t="s">
        <v>32</v>
      </c>
      <c r="Z146" s="1"/>
      <c r="AB146" s="2">
        <v>0</v>
      </c>
      <c r="AF146" s="2" t="s">
        <v>299</v>
      </c>
      <c r="AL146" s="2" t="s">
        <v>300</v>
      </c>
    </row>
    <row r="147" spans="1:38" s="10" customFormat="1" x14ac:dyDescent="0.35">
      <c r="A147" s="10" t="s">
        <v>297</v>
      </c>
      <c r="B147" s="10" t="s">
        <v>1029</v>
      </c>
      <c r="C147" s="10" t="s">
        <v>301</v>
      </c>
      <c r="D147" s="36">
        <v>30</v>
      </c>
      <c r="E147" s="10" t="s">
        <v>1096</v>
      </c>
      <c r="F147" s="10" t="s">
        <v>1099</v>
      </c>
      <c r="G147" s="10" t="s">
        <v>1117</v>
      </c>
      <c r="H147" s="10" t="s">
        <v>1077</v>
      </c>
      <c r="L147" s="10">
        <v>30</v>
      </c>
      <c r="M147" s="1"/>
      <c r="N147" s="10">
        <v>20</v>
      </c>
      <c r="O147" s="56"/>
      <c r="P147" s="1">
        <v>10</v>
      </c>
      <c r="Q147" s="59"/>
      <c r="S147" s="10" t="s">
        <v>45</v>
      </c>
      <c r="U147" s="10">
        <v>2030</v>
      </c>
      <c r="V147" s="10">
        <v>1</v>
      </c>
      <c r="W147" s="10">
        <v>1</v>
      </c>
      <c r="X147" s="10" t="s">
        <v>32</v>
      </c>
      <c r="Y147" s="10" t="s">
        <v>32</v>
      </c>
      <c r="AB147" s="10">
        <v>0</v>
      </c>
      <c r="AF147" s="22" t="s">
        <v>299</v>
      </c>
      <c r="AL147" s="10" t="s">
        <v>300</v>
      </c>
    </row>
    <row r="148" spans="1:38" s="10" customFormat="1" x14ac:dyDescent="0.35">
      <c r="A148" s="10" t="s">
        <v>297</v>
      </c>
      <c r="B148" s="10" t="s">
        <v>1030</v>
      </c>
      <c r="C148" s="10" t="s">
        <v>302</v>
      </c>
      <c r="D148" s="36">
        <v>51</v>
      </c>
      <c r="E148" s="10" t="s">
        <v>1091</v>
      </c>
      <c r="F148" s="10" t="s">
        <v>1091</v>
      </c>
      <c r="G148" s="10" t="s">
        <v>129</v>
      </c>
      <c r="H148" s="10" t="s">
        <v>1078</v>
      </c>
      <c r="L148" s="10">
        <v>40</v>
      </c>
      <c r="M148" s="1"/>
      <c r="N148" s="10">
        <v>40</v>
      </c>
      <c r="O148" s="56"/>
      <c r="P148" s="1"/>
      <c r="Q148" s="59"/>
      <c r="S148" s="10" t="s">
        <v>45</v>
      </c>
      <c r="U148" s="10">
        <v>2030</v>
      </c>
      <c r="V148" s="10">
        <v>0</v>
      </c>
      <c r="W148" s="10">
        <v>1</v>
      </c>
      <c r="X148" s="10" t="s">
        <v>51</v>
      </c>
      <c r="Y148" s="10" t="s">
        <v>51</v>
      </c>
      <c r="AB148" s="10">
        <v>0</v>
      </c>
      <c r="AF148" s="10" t="s">
        <v>299</v>
      </c>
    </row>
    <row r="149" spans="1:38" s="2" customFormat="1" ht="17" hidden="1" x14ac:dyDescent="0.35">
      <c r="A149" s="2" t="s">
        <v>297</v>
      </c>
      <c r="B149" s="2" t="s">
        <v>1031</v>
      </c>
      <c r="C149" s="30" t="s">
        <v>1040</v>
      </c>
      <c r="D149" s="26"/>
      <c r="E149" s="26"/>
      <c r="F149" s="26"/>
      <c r="G149" s="26"/>
      <c r="H149" s="2" t="s">
        <v>1078</v>
      </c>
      <c r="I149" s="14"/>
      <c r="J149" s="14"/>
      <c r="K149" s="18"/>
      <c r="M149" s="10">
        <v>158000</v>
      </c>
      <c r="O149" s="2">
        <v>158000</v>
      </c>
      <c r="Q149" s="10"/>
      <c r="S149" s="1"/>
      <c r="T149" s="1"/>
      <c r="U149" s="1">
        <v>2035</v>
      </c>
      <c r="V149" s="1">
        <v>1</v>
      </c>
      <c r="W149" s="1">
        <v>0</v>
      </c>
      <c r="X149" s="1"/>
      <c r="Y149" s="1"/>
      <c r="Z149" s="1"/>
      <c r="AB149" s="2">
        <v>0</v>
      </c>
    </row>
    <row r="150" spans="1:38" s="2" customFormat="1" hidden="1" x14ac:dyDescent="0.35">
      <c r="A150" s="2" t="s">
        <v>303</v>
      </c>
      <c r="B150" s="2" t="s">
        <v>1028</v>
      </c>
      <c r="C150" s="26" t="s">
        <v>304</v>
      </c>
      <c r="D150" s="26">
        <v>84</v>
      </c>
      <c r="E150" s="26"/>
      <c r="F150" s="26"/>
      <c r="G150" s="26"/>
      <c r="H150" s="2" t="s">
        <v>1076</v>
      </c>
      <c r="I150" s="10"/>
      <c r="J150" s="10"/>
      <c r="K150" s="1"/>
      <c r="L150" s="2">
        <v>84</v>
      </c>
      <c r="M150" s="10"/>
      <c r="P150" s="2">
        <v>84</v>
      </c>
      <c r="Q150" s="10"/>
      <c r="S150" s="1" t="s">
        <v>45</v>
      </c>
      <c r="T150" s="1"/>
      <c r="U150" s="1">
        <v>2030</v>
      </c>
      <c r="V150" s="1">
        <v>1</v>
      </c>
      <c r="W150" s="1">
        <v>1</v>
      </c>
      <c r="X150" s="1" t="s">
        <v>32</v>
      </c>
      <c r="Y150" s="1" t="s">
        <v>32</v>
      </c>
      <c r="Z150" s="1"/>
      <c r="AB150" s="2">
        <v>0</v>
      </c>
      <c r="AF150" s="2" t="s">
        <v>305</v>
      </c>
      <c r="AL150" s="2" t="s">
        <v>306</v>
      </c>
    </row>
    <row r="151" spans="1:38" s="10" customFormat="1" x14ac:dyDescent="0.35">
      <c r="A151" s="10" t="s">
        <v>303</v>
      </c>
      <c r="B151" s="10" t="s">
        <v>1029</v>
      </c>
      <c r="C151" s="10" t="s">
        <v>34</v>
      </c>
      <c r="D151" s="36">
        <v>84</v>
      </c>
      <c r="E151" s="10" t="s">
        <v>1114</v>
      </c>
      <c r="F151" s="10" t="s">
        <v>1097</v>
      </c>
      <c r="G151" s="10" t="s">
        <v>38</v>
      </c>
      <c r="H151" s="10" t="s">
        <v>1076</v>
      </c>
      <c r="L151" s="10">
        <v>84</v>
      </c>
      <c r="M151" s="1"/>
      <c r="O151" s="56"/>
      <c r="P151" s="1">
        <v>84</v>
      </c>
      <c r="Q151" s="59"/>
      <c r="S151" s="10" t="s">
        <v>45</v>
      </c>
      <c r="U151" s="10">
        <v>2030</v>
      </c>
      <c r="V151" s="10">
        <v>1</v>
      </c>
      <c r="W151" s="10">
        <v>1</v>
      </c>
      <c r="X151" s="10" t="s">
        <v>32</v>
      </c>
      <c r="Y151" s="10" t="s">
        <v>32</v>
      </c>
      <c r="AB151" s="10">
        <v>0</v>
      </c>
      <c r="AF151" s="10" t="s">
        <v>305</v>
      </c>
      <c r="AI151" s="10" t="s">
        <v>307</v>
      </c>
      <c r="AJ151" s="10" t="s">
        <v>308</v>
      </c>
      <c r="AL151" s="10" t="s">
        <v>309</v>
      </c>
    </row>
    <row r="152" spans="1:38" s="10" customFormat="1" ht="17.5" x14ac:dyDescent="0.35">
      <c r="A152" s="10" t="s">
        <v>303</v>
      </c>
      <c r="B152" s="10" t="s">
        <v>1030</v>
      </c>
      <c r="C152" s="33">
        <v>44327</v>
      </c>
      <c r="D152" s="10" t="s">
        <v>182</v>
      </c>
      <c r="E152" s="10" t="s">
        <v>1114</v>
      </c>
      <c r="F152" s="10" t="s">
        <v>1127</v>
      </c>
      <c r="G152" s="12" t="s">
        <v>129</v>
      </c>
      <c r="H152" s="10" t="s">
        <v>1076</v>
      </c>
      <c r="L152" s="10" t="s">
        <v>182</v>
      </c>
      <c r="M152" s="1"/>
      <c r="O152" s="56"/>
      <c r="P152" s="1" t="s">
        <v>182</v>
      </c>
      <c r="Q152" s="59"/>
      <c r="S152" s="10" t="s">
        <v>45</v>
      </c>
      <c r="U152" s="10">
        <v>2030</v>
      </c>
      <c r="V152" s="10">
        <v>1</v>
      </c>
      <c r="W152" s="10">
        <v>1</v>
      </c>
      <c r="X152" s="10" t="s">
        <v>32</v>
      </c>
      <c r="Y152" s="10" t="s">
        <v>32</v>
      </c>
      <c r="AB152" s="10">
        <v>0</v>
      </c>
      <c r="AF152" s="10" t="s">
        <v>310</v>
      </c>
      <c r="AG152" s="10" t="s">
        <v>311</v>
      </c>
      <c r="AI152" s="10" t="s">
        <v>312</v>
      </c>
      <c r="AJ152" s="10" t="s">
        <v>313</v>
      </c>
    </row>
    <row r="153" spans="1:38" s="2" customFormat="1" ht="17" hidden="1" x14ac:dyDescent="0.35">
      <c r="A153" s="2" t="s">
        <v>303</v>
      </c>
      <c r="B153" s="2" t="s">
        <v>1031</v>
      </c>
      <c r="C153" s="30" t="s">
        <v>1041</v>
      </c>
      <c r="D153" s="26">
        <v>54</v>
      </c>
      <c r="E153" s="26"/>
      <c r="F153" s="26"/>
      <c r="G153" s="26"/>
      <c r="H153" s="10" t="s">
        <v>1077</v>
      </c>
      <c r="I153" s="14"/>
      <c r="J153" s="14"/>
      <c r="K153" s="18"/>
      <c r="L153" s="2">
        <v>54</v>
      </c>
      <c r="M153" s="10"/>
      <c r="N153" s="2">
        <v>13</v>
      </c>
      <c r="P153" s="2">
        <v>41</v>
      </c>
      <c r="Q153" s="10"/>
      <c r="S153" s="1" t="s">
        <v>30</v>
      </c>
      <c r="T153" s="1"/>
      <c r="U153" s="1">
        <v>2030</v>
      </c>
      <c r="V153" s="1">
        <v>1</v>
      </c>
      <c r="W153" s="1">
        <v>1</v>
      </c>
      <c r="X153" s="1"/>
      <c r="Y153" s="1"/>
      <c r="Z153" s="1"/>
      <c r="AB153" s="2">
        <v>0</v>
      </c>
    </row>
    <row r="154" spans="1:38" s="2" customFormat="1" hidden="1" x14ac:dyDescent="0.35">
      <c r="A154" s="2" t="s">
        <v>314</v>
      </c>
      <c r="B154" s="2" t="s">
        <v>1028</v>
      </c>
      <c r="C154" s="26" t="s">
        <v>315</v>
      </c>
      <c r="D154" s="26" t="s">
        <v>316</v>
      </c>
      <c r="E154" s="26"/>
      <c r="F154" s="26"/>
      <c r="G154" s="26" t="s">
        <v>317</v>
      </c>
      <c r="H154" s="2" t="s">
        <v>1076</v>
      </c>
      <c r="I154" s="10"/>
      <c r="J154" s="10"/>
      <c r="K154" s="1"/>
      <c r="L154" s="2" t="s">
        <v>316</v>
      </c>
      <c r="M154" s="10"/>
      <c r="P154" s="2" t="s">
        <v>316</v>
      </c>
      <c r="Q154" s="10"/>
      <c r="R154" s="2">
        <v>48</v>
      </c>
      <c r="S154" s="1" t="s">
        <v>45</v>
      </c>
      <c r="T154" s="1"/>
      <c r="U154" s="1">
        <v>2035</v>
      </c>
      <c r="V154" s="1">
        <v>1</v>
      </c>
      <c r="W154" s="1">
        <v>1</v>
      </c>
      <c r="X154" s="1" t="s">
        <v>32</v>
      </c>
      <c r="Y154" s="1" t="s">
        <v>32</v>
      </c>
      <c r="Z154" s="1"/>
      <c r="AA154" s="2">
        <v>2025</v>
      </c>
      <c r="AB154" s="2">
        <v>0</v>
      </c>
      <c r="AF154" s="2" t="s">
        <v>318</v>
      </c>
      <c r="AL154" s="2" t="s">
        <v>319</v>
      </c>
    </row>
    <row r="155" spans="1:38" s="10" customFormat="1" x14ac:dyDescent="0.35">
      <c r="A155" s="10" t="s">
        <v>314</v>
      </c>
      <c r="B155" s="10" t="s">
        <v>1029</v>
      </c>
      <c r="C155" s="10" t="s">
        <v>320</v>
      </c>
      <c r="D155" s="10" t="s">
        <v>316</v>
      </c>
      <c r="E155" s="10" t="s">
        <v>1097</v>
      </c>
      <c r="F155" s="10" t="s">
        <v>1097</v>
      </c>
      <c r="G155" s="10" t="s">
        <v>1128</v>
      </c>
      <c r="H155" s="10" t="s">
        <v>1076</v>
      </c>
      <c r="L155" s="10" t="s">
        <v>316</v>
      </c>
      <c r="M155" s="1"/>
      <c r="O155" s="56"/>
      <c r="P155" s="1" t="s">
        <v>316</v>
      </c>
      <c r="Q155" s="59"/>
      <c r="R155" s="10">
        <v>48</v>
      </c>
      <c r="S155" s="10" t="s">
        <v>45</v>
      </c>
      <c r="U155" s="10">
        <v>2035</v>
      </c>
      <c r="V155" s="10">
        <v>1</v>
      </c>
      <c r="W155" s="10">
        <v>1</v>
      </c>
      <c r="X155" s="10" t="s">
        <v>32</v>
      </c>
      <c r="Y155" s="10" t="s">
        <v>32</v>
      </c>
      <c r="AA155" s="10">
        <v>2025</v>
      </c>
      <c r="AB155" s="10">
        <v>0</v>
      </c>
      <c r="AF155" s="10" t="s">
        <v>318</v>
      </c>
      <c r="AI155" s="10" t="s">
        <v>321</v>
      </c>
      <c r="AJ155" s="10" t="s">
        <v>322</v>
      </c>
      <c r="AL155" s="10" t="s">
        <v>319</v>
      </c>
    </row>
    <row r="156" spans="1:38" s="10" customFormat="1" ht="17" x14ac:dyDescent="0.35">
      <c r="A156" s="10" t="s">
        <v>314</v>
      </c>
      <c r="B156" s="10" t="s">
        <v>1030</v>
      </c>
      <c r="C156" s="33">
        <v>44235</v>
      </c>
      <c r="D156" s="36">
        <v>32.19</v>
      </c>
      <c r="E156" s="10" t="s">
        <v>1120</v>
      </c>
      <c r="F156" s="10" t="s">
        <v>1099</v>
      </c>
      <c r="G156" s="10" t="s">
        <v>1128</v>
      </c>
      <c r="H156" s="10" t="s">
        <v>1077</v>
      </c>
      <c r="L156" s="10">
        <v>32.19</v>
      </c>
      <c r="M156" s="1"/>
      <c r="N156" s="10">
        <v>21.46</v>
      </c>
      <c r="O156" s="56"/>
      <c r="P156" s="1">
        <v>10.73</v>
      </c>
      <c r="Q156" s="59"/>
      <c r="R156" s="10" t="s">
        <v>323</v>
      </c>
      <c r="S156" s="10" t="s">
        <v>45</v>
      </c>
      <c r="U156" s="10">
        <v>2030</v>
      </c>
      <c r="V156" s="10">
        <v>1</v>
      </c>
      <c r="W156" s="10">
        <v>1</v>
      </c>
      <c r="X156" s="10" t="s">
        <v>32</v>
      </c>
      <c r="Y156" s="10" t="s">
        <v>32</v>
      </c>
      <c r="AA156" s="10">
        <v>2025</v>
      </c>
      <c r="AB156" s="10">
        <v>0</v>
      </c>
      <c r="AF156" s="10" t="s">
        <v>324</v>
      </c>
      <c r="AI156" s="10" t="s">
        <v>325</v>
      </c>
      <c r="AJ156" s="10" t="s">
        <v>325</v>
      </c>
      <c r="AL156" s="10" t="s">
        <v>326</v>
      </c>
    </row>
    <row r="157" spans="1:38" s="2" customFormat="1" ht="17" hidden="1" x14ac:dyDescent="0.35">
      <c r="A157" s="2" t="s">
        <v>314</v>
      </c>
      <c r="B157" s="2" t="s">
        <v>1031</v>
      </c>
      <c r="C157" s="31">
        <v>46358</v>
      </c>
      <c r="D157" s="26">
        <v>47.8</v>
      </c>
      <c r="E157" s="26"/>
      <c r="F157" s="26"/>
      <c r="G157" s="26"/>
      <c r="H157" s="2" t="s">
        <v>1076</v>
      </c>
      <c r="I157" s="23"/>
      <c r="J157" s="23"/>
      <c r="K157" s="19"/>
      <c r="L157" s="2">
        <v>47.8</v>
      </c>
      <c r="M157" s="10"/>
      <c r="P157" s="2">
        <v>47.8</v>
      </c>
      <c r="Q157" s="10"/>
      <c r="S157" s="1" t="s">
        <v>30</v>
      </c>
      <c r="T157" s="1"/>
      <c r="U157" s="1">
        <v>2035</v>
      </c>
      <c r="V157" s="1">
        <v>1</v>
      </c>
      <c r="W157" s="1">
        <v>1</v>
      </c>
      <c r="X157" s="1"/>
      <c r="Y157" s="1"/>
      <c r="Z157" s="1"/>
      <c r="AB157" s="2">
        <v>0</v>
      </c>
    </row>
    <row r="158" spans="1:38" s="2" customFormat="1" hidden="1" x14ac:dyDescent="0.35">
      <c r="A158" s="2" t="s">
        <v>327</v>
      </c>
      <c r="B158" s="2" t="s">
        <v>1028</v>
      </c>
      <c r="C158" s="26" t="s">
        <v>328</v>
      </c>
      <c r="D158" s="26"/>
      <c r="E158" s="26"/>
      <c r="F158" s="26"/>
      <c r="G158" s="26"/>
      <c r="H158" s="10"/>
      <c r="I158" s="10"/>
      <c r="J158" s="10"/>
      <c r="K158" s="1"/>
      <c r="M158" s="10"/>
      <c r="Q158" s="10"/>
      <c r="S158" s="1"/>
      <c r="T158" s="1">
        <v>2006</v>
      </c>
      <c r="U158" s="1">
        <v>2030</v>
      </c>
      <c r="V158" s="1">
        <v>1</v>
      </c>
      <c r="W158" s="1">
        <v>1</v>
      </c>
      <c r="X158" s="1" t="s">
        <v>51</v>
      </c>
      <c r="Y158" s="1" t="s">
        <v>51</v>
      </c>
      <c r="Z158" s="1"/>
      <c r="AB158" s="2">
        <v>0</v>
      </c>
      <c r="AF158" s="2" t="s">
        <v>329</v>
      </c>
    </row>
    <row r="159" spans="1:38" s="10" customFormat="1" ht="17" x14ac:dyDescent="0.35">
      <c r="A159" s="10" t="s">
        <v>327</v>
      </c>
      <c r="B159" s="10" t="s">
        <v>1029</v>
      </c>
      <c r="C159" s="33">
        <v>42378</v>
      </c>
      <c r="D159" s="36">
        <v>81</v>
      </c>
      <c r="E159" s="10" t="s">
        <v>1100</v>
      </c>
      <c r="F159" s="10" t="s">
        <v>1101</v>
      </c>
      <c r="H159" s="10" t="s">
        <v>1077</v>
      </c>
      <c r="J159" s="10">
        <v>1</v>
      </c>
      <c r="L159" s="10">
        <v>38</v>
      </c>
      <c r="M159" s="1"/>
      <c r="N159" s="10">
        <v>43</v>
      </c>
      <c r="O159" s="56"/>
      <c r="P159" s="1"/>
      <c r="Q159" s="59"/>
      <c r="T159" s="10">
        <v>2006</v>
      </c>
      <c r="U159" s="10">
        <v>2030</v>
      </c>
      <c r="V159" s="10">
        <v>1</v>
      </c>
      <c r="W159" s="10">
        <v>1</v>
      </c>
      <c r="X159" s="10" t="s">
        <v>51</v>
      </c>
      <c r="Y159" s="10" t="s">
        <v>51</v>
      </c>
      <c r="AF159" s="10" t="s">
        <v>329</v>
      </c>
    </row>
    <row r="160" spans="1:38" s="10" customFormat="1" x14ac:dyDescent="0.35">
      <c r="A160" s="10" t="s">
        <v>327</v>
      </c>
      <c r="B160" s="10" t="s">
        <v>1030</v>
      </c>
      <c r="I160" s="22" t="s">
        <v>1085</v>
      </c>
      <c r="M160" s="1"/>
      <c r="O160" s="56"/>
      <c r="P160" s="1"/>
      <c r="Q160" s="59"/>
    </row>
    <row r="161" spans="1:38" s="2" customFormat="1" hidden="1" x14ac:dyDescent="0.35">
      <c r="A161" s="2" t="s">
        <v>327</v>
      </c>
      <c r="B161" s="2" t="s">
        <v>1031</v>
      </c>
      <c r="C161" s="26"/>
      <c r="D161" s="26"/>
      <c r="E161" s="26"/>
      <c r="F161" s="26"/>
      <c r="G161" s="26"/>
      <c r="H161" s="10"/>
      <c r="I161" s="10"/>
      <c r="J161" s="10"/>
      <c r="K161" s="1"/>
      <c r="M161" s="10"/>
      <c r="Q161" s="10"/>
      <c r="S161" s="1"/>
      <c r="T161" s="1"/>
      <c r="U161" s="1"/>
      <c r="V161" s="1"/>
      <c r="W161" s="1"/>
      <c r="X161" s="1"/>
      <c r="Y161" s="1"/>
      <c r="Z161" s="1"/>
    </row>
    <row r="162" spans="1:38" s="2" customFormat="1" hidden="1" x14ac:dyDescent="0.35">
      <c r="A162" s="2" t="s">
        <v>330</v>
      </c>
      <c r="B162" s="2" t="s">
        <v>1028</v>
      </c>
      <c r="C162" s="26" t="s">
        <v>170</v>
      </c>
      <c r="D162" s="26">
        <v>25</v>
      </c>
      <c r="E162" s="26"/>
      <c r="F162" s="26"/>
      <c r="G162" s="26" t="s">
        <v>53</v>
      </c>
      <c r="H162" s="2" t="s">
        <v>1078</v>
      </c>
      <c r="I162" s="10"/>
      <c r="J162" s="10"/>
      <c r="K162" s="1"/>
      <c r="L162" s="2">
        <v>25</v>
      </c>
      <c r="M162" s="10"/>
      <c r="N162" s="2">
        <v>25</v>
      </c>
      <c r="Q162" s="10"/>
      <c r="S162" s="1"/>
      <c r="T162" s="1" t="s">
        <v>331</v>
      </c>
      <c r="U162" s="1">
        <v>2030</v>
      </c>
      <c r="V162" s="1">
        <v>0</v>
      </c>
      <c r="W162" s="1">
        <v>1</v>
      </c>
      <c r="X162" s="1" t="s">
        <v>51</v>
      </c>
      <c r="Y162" s="1" t="s">
        <v>51</v>
      </c>
      <c r="Z162" s="1"/>
      <c r="AB162" s="2">
        <v>1</v>
      </c>
      <c r="AC162" s="2">
        <v>2050</v>
      </c>
      <c r="AD162" s="2" t="s">
        <v>332</v>
      </c>
      <c r="AF162" s="2" t="s">
        <v>333</v>
      </c>
      <c r="AL162" s="2" t="s">
        <v>334</v>
      </c>
    </row>
    <row r="163" spans="1:38" s="10" customFormat="1" x14ac:dyDescent="0.35">
      <c r="A163" s="10" t="s">
        <v>330</v>
      </c>
      <c r="B163" s="10" t="s">
        <v>1029</v>
      </c>
      <c r="C163" s="10" t="s">
        <v>335</v>
      </c>
      <c r="D163" s="36">
        <v>44</v>
      </c>
      <c r="E163" s="10" t="s">
        <v>1091</v>
      </c>
      <c r="F163" s="10" t="s">
        <v>1091</v>
      </c>
      <c r="G163" s="10" t="s">
        <v>53</v>
      </c>
      <c r="H163" s="10" t="s">
        <v>1078</v>
      </c>
      <c r="L163" s="10">
        <v>25</v>
      </c>
      <c r="M163" s="1"/>
      <c r="N163" s="10">
        <v>25</v>
      </c>
      <c r="O163" s="56"/>
      <c r="P163" s="1"/>
      <c r="Q163" s="59"/>
      <c r="T163" s="10" t="s">
        <v>331</v>
      </c>
      <c r="U163" s="10">
        <v>2030</v>
      </c>
      <c r="V163" s="10">
        <v>0</v>
      </c>
      <c r="W163" s="10">
        <v>1</v>
      </c>
      <c r="X163" s="10" t="s">
        <v>51</v>
      </c>
      <c r="Y163" s="10" t="s">
        <v>51</v>
      </c>
      <c r="AB163" s="10">
        <v>1</v>
      </c>
      <c r="AC163" s="10">
        <v>2050</v>
      </c>
      <c r="AD163" s="10" t="s">
        <v>332</v>
      </c>
      <c r="AF163" s="10" t="s">
        <v>333</v>
      </c>
      <c r="AL163" s="10" t="s">
        <v>334</v>
      </c>
    </row>
    <row r="164" spans="1:38" s="10" customFormat="1" x14ac:dyDescent="0.35">
      <c r="A164" s="10" t="s">
        <v>330</v>
      </c>
      <c r="B164" s="10" t="s">
        <v>1030</v>
      </c>
      <c r="C164" s="10" t="s">
        <v>336</v>
      </c>
      <c r="E164" s="10" t="s">
        <v>1104</v>
      </c>
      <c r="G164" s="10" t="s">
        <v>53</v>
      </c>
      <c r="H164" s="10" t="s">
        <v>1078</v>
      </c>
      <c r="M164" s="1">
        <v>9110</v>
      </c>
      <c r="O164" s="56">
        <v>9110</v>
      </c>
      <c r="P164" s="1"/>
      <c r="Q164" s="59"/>
      <c r="U164" s="10">
        <v>2030</v>
      </c>
      <c r="V164" s="10">
        <v>0</v>
      </c>
      <c r="W164" s="10">
        <v>1</v>
      </c>
      <c r="X164" s="10" t="s">
        <v>78</v>
      </c>
      <c r="Y164" s="10" t="s">
        <v>78</v>
      </c>
      <c r="Z164" s="10" t="s">
        <v>1073</v>
      </c>
      <c r="AB164" s="10">
        <v>0</v>
      </c>
      <c r="AF164" s="10" t="s">
        <v>337</v>
      </c>
      <c r="AG164" s="10" t="s">
        <v>338</v>
      </c>
      <c r="AL164" s="10" t="s">
        <v>339</v>
      </c>
    </row>
    <row r="165" spans="1:38" s="2" customFormat="1" ht="17" hidden="1" x14ac:dyDescent="0.35">
      <c r="A165" s="2" t="s">
        <v>330</v>
      </c>
      <c r="B165" s="2" t="s">
        <v>1031</v>
      </c>
      <c r="C165" s="30" t="s">
        <v>1042</v>
      </c>
      <c r="D165" s="26"/>
      <c r="E165" s="26"/>
      <c r="F165" s="26"/>
      <c r="G165" s="26"/>
      <c r="H165" s="2" t="s">
        <v>1078</v>
      </c>
      <c r="I165" s="14"/>
      <c r="J165" s="14"/>
      <c r="K165" s="18"/>
      <c r="M165" s="10">
        <v>132700</v>
      </c>
      <c r="O165" s="2">
        <v>132700</v>
      </c>
      <c r="Q165" s="10"/>
      <c r="S165" s="1"/>
      <c r="T165" s="1"/>
      <c r="U165" s="1">
        <v>2035</v>
      </c>
      <c r="V165" s="1">
        <v>1</v>
      </c>
      <c r="W165" s="1">
        <v>1</v>
      </c>
      <c r="X165" s="1" t="s">
        <v>78</v>
      </c>
      <c r="Y165" s="1" t="s">
        <v>78</v>
      </c>
      <c r="Z165" s="1" t="s">
        <v>1073</v>
      </c>
      <c r="AB165" s="2">
        <v>0</v>
      </c>
    </row>
    <row r="166" spans="1:38" s="2" customFormat="1" ht="17.5" hidden="1" x14ac:dyDescent="0.35">
      <c r="A166" s="2" t="s">
        <v>340</v>
      </c>
      <c r="B166" s="2" t="s">
        <v>1028</v>
      </c>
      <c r="C166" s="26"/>
      <c r="D166" s="26"/>
      <c r="E166" s="26"/>
      <c r="F166" s="26"/>
      <c r="G166" s="26"/>
      <c r="H166" s="10"/>
      <c r="I166" s="10"/>
      <c r="J166" s="10"/>
      <c r="K166" s="1"/>
      <c r="M166" s="17"/>
      <c r="Q166" s="10"/>
      <c r="S166" s="1"/>
      <c r="T166" s="1"/>
      <c r="U166" s="1"/>
      <c r="V166" s="1"/>
      <c r="W166" s="1"/>
      <c r="X166" s="1"/>
      <c r="Y166" s="1"/>
      <c r="Z166" s="1"/>
    </row>
    <row r="167" spans="1:38" s="10" customFormat="1" x14ac:dyDescent="0.35">
      <c r="A167" s="10" t="s">
        <v>340</v>
      </c>
      <c r="B167" s="10" t="s">
        <v>1029</v>
      </c>
      <c r="C167" s="10" t="s">
        <v>341</v>
      </c>
      <c r="D167" s="36">
        <v>40</v>
      </c>
      <c r="E167" s="10" t="s">
        <v>1091</v>
      </c>
      <c r="F167" s="10" t="s">
        <v>1091</v>
      </c>
      <c r="G167" s="10" t="s">
        <v>53</v>
      </c>
      <c r="H167" s="10" t="s">
        <v>1078</v>
      </c>
      <c r="L167" s="10">
        <v>40</v>
      </c>
      <c r="M167" s="1"/>
      <c r="N167" s="10">
        <v>40</v>
      </c>
      <c r="O167" s="56"/>
      <c r="P167" s="1"/>
      <c r="Q167" s="59"/>
      <c r="T167" s="10">
        <v>1990</v>
      </c>
      <c r="U167" s="10">
        <v>2030</v>
      </c>
      <c r="V167" s="10">
        <v>0</v>
      </c>
      <c r="W167" s="10">
        <v>0</v>
      </c>
      <c r="X167" s="10" t="s">
        <v>51</v>
      </c>
      <c r="Y167" s="10" t="s">
        <v>51</v>
      </c>
      <c r="AB167" s="10">
        <v>1</v>
      </c>
      <c r="AC167" s="10">
        <v>2050</v>
      </c>
      <c r="AF167" s="10" t="s">
        <v>215</v>
      </c>
      <c r="AL167" s="10" t="s">
        <v>101</v>
      </c>
    </row>
    <row r="168" spans="1:38" s="10" customFormat="1" x14ac:dyDescent="0.35">
      <c r="A168" s="10" t="s">
        <v>340</v>
      </c>
      <c r="B168" s="10" t="s">
        <v>1030</v>
      </c>
      <c r="C168" s="10" t="s">
        <v>102</v>
      </c>
      <c r="D168" s="10" t="s">
        <v>342</v>
      </c>
      <c r="E168" s="10" t="s">
        <v>1091</v>
      </c>
      <c r="F168" s="10" t="s">
        <v>1091</v>
      </c>
      <c r="G168" s="10" t="s">
        <v>53</v>
      </c>
      <c r="H168" s="10" t="s">
        <v>1078</v>
      </c>
      <c r="L168" s="10" t="s">
        <v>342</v>
      </c>
      <c r="M168" s="1"/>
      <c r="N168" s="10" t="s">
        <v>342</v>
      </c>
      <c r="O168" s="56"/>
      <c r="P168" s="1"/>
      <c r="Q168" s="59"/>
      <c r="T168" s="10">
        <v>1990</v>
      </c>
      <c r="U168" s="10">
        <v>2030</v>
      </c>
      <c r="V168" s="10">
        <v>0</v>
      </c>
      <c r="W168" s="10">
        <v>0</v>
      </c>
      <c r="X168" s="10" t="s">
        <v>51</v>
      </c>
      <c r="Y168" s="10" t="s">
        <v>51</v>
      </c>
      <c r="AB168" s="10">
        <v>1</v>
      </c>
      <c r="AC168" s="10">
        <v>2050</v>
      </c>
      <c r="AF168" s="10" t="s">
        <v>215</v>
      </c>
      <c r="AL168" s="10" t="s">
        <v>343</v>
      </c>
    </row>
    <row r="169" spans="1:38" s="2" customFormat="1" hidden="1" x14ac:dyDescent="0.35">
      <c r="A169" s="2" t="s">
        <v>340</v>
      </c>
      <c r="B169" s="2" t="s">
        <v>1031</v>
      </c>
      <c r="C169" s="26"/>
      <c r="D169" s="26"/>
      <c r="E169" s="26"/>
      <c r="F169" s="26"/>
      <c r="G169" s="26"/>
      <c r="H169" s="10"/>
      <c r="I169" s="10"/>
      <c r="J169" s="10"/>
      <c r="K169" s="1"/>
      <c r="M169" s="10"/>
      <c r="Q169" s="10"/>
      <c r="S169" s="1"/>
      <c r="T169" s="1"/>
      <c r="U169" s="1"/>
      <c r="V169" s="1"/>
      <c r="W169" s="1"/>
      <c r="X169" s="1"/>
      <c r="Y169" s="1"/>
      <c r="Z169" s="1"/>
    </row>
    <row r="170" spans="1:38" s="2" customFormat="1" hidden="1" x14ac:dyDescent="0.35">
      <c r="A170" s="2" t="s">
        <v>344</v>
      </c>
      <c r="B170" s="2" t="s">
        <v>1028</v>
      </c>
      <c r="C170" s="26" t="s">
        <v>124</v>
      </c>
      <c r="D170" s="26"/>
      <c r="E170" s="26"/>
      <c r="F170" s="26"/>
      <c r="G170" s="26"/>
      <c r="H170" s="10"/>
      <c r="I170" s="10"/>
      <c r="J170" s="10"/>
      <c r="K170" s="1"/>
      <c r="M170" s="10"/>
      <c r="Q170" s="10"/>
      <c r="S170" s="1"/>
      <c r="T170" s="1"/>
      <c r="U170" s="1"/>
      <c r="V170" s="1">
        <v>1</v>
      </c>
      <c r="W170" s="1">
        <v>1</v>
      </c>
      <c r="X170" s="1"/>
      <c r="Y170" s="1"/>
      <c r="Z170" s="1"/>
    </row>
    <row r="171" spans="1:38" s="46" customFormat="1" x14ac:dyDescent="0.35">
      <c r="A171" s="46" t="s">
        <v>344</v>
      </c>
      <c r="B171" s="46" t="s">
        <v>1029</v>
      </c>
      <c r="C171" s="46" t="s">
        <v>124</v>
      </c>
      <c r="I171" s="48" t="s">
        <v>1085</v>
      </c>
      <c r="M171" s="51"/>
      <c r="O171" s="57"/>
      <c r="P171" s="51"/>
      <c r="Q171" s="60"/>
      <c r="V171" s="46">
        <v>1</v>
      </c>
      <c r="W171" s="46">
        <v>1</v>
      </c>
      <c r="AF171" s="46" t="s">
        <v>345</v>
      </c>
      <c r="AL171" s="46" t="s">
        <v>346</v>
      </c>
    </row>
    <row r="172" spans="1:38" s="46" customFormat="1" x14ac:dyDescent="0.35">
      <c r="A172" s="46" t="s">
        <v>344</v>
      </c>
      <c r="B172" s="46" t="s">
        <v>1030</v>
      </c>
      <c r="C172" s="46" t="s">
        <v>347</v>
      </c>
      <c r="I172" s="48" t="s">
        <v>1085</v>
      </c>
      <c r="M172" s="51"/>
      <c r="O172" s="57"/>
      <c r="P172" s="51"/>
      <c r="Q172" s="60"/>
      <c r="V172" s="46">
        <v>1</v>
      </c>
      <c r="W172" s="46">
        <v>1</v>
      </c>
      <c r="AF172" s="46" t="s">
        <v>345</v>
      </c>
      <c r="AL172" s="46" t="s">
        <v>348</v>
      </c>
    </row>
    <row r="173" spans="1:38" s="2" customFormat="1" hidden="1" x14ac:dyDescent="0.35">
      <c r="A173" s="2" t="s">
        <v>344</v>
      </c>
      <c r="B173" s="2" t="s">
        <v>1031</v>
      </c>
      <c r="C173" s="26"/>
      <c r="D173" s="26"/>
      <c r="E173" s="26"/>
      <c r="F173" s="26"/>
      <c r="G173" s="26"/>
      <c r="H173" s="10"/>
      <c r="I173" s="10"/>
      <c r="J173" s="10"/>
      <c r="K173" s="1"/>
      <c r="M173" s="10"/>
      <c r="Q173" s="10"/>
      <c r="S173" s="1"/>
      <c r="T173" s="1"/>
      <c r="U173" s="1"/>
      <c r="V173" s="1"/>
      <c r="W173" s="1"/>
      <c r="X173" s="1"/>
      <c r="Y173" s="1"/>
      <c r="Z173" s="1"/>
    </row>
    <row r="174" spans="1:38" s="2" customFormat="1" hidden="1" x14ac:dyDescent="0.35">
      <c r="A174" s="2" t="s">
        <v>349</v>
      </c>
      <c r="B174" s="2" t="s">
        <v>1028</v>
      </c>
      <c r="C174" s="26"/>
      <c r="D174" s="26"/>
      <c r="E174" s="26"/>
      <c r="F174" s="26"/>
      <c r="G174" s="26"/>
      <c r="H174" s="10"/>
      <c r="I174" s="10"/>
      <c r="J174" s="10"/>
      <c r="K174" s="1"/>
      <c r="M174" s="10"/>
      <c r="Q174" s="10"/>
      <c r="S174" s="1"/>
      <c r="T174" s="1"/>
      <c r="U174" s="1"/>
      <c r="V174" s="1"/>
      <c r="W174" s="1"/>
      <c r="X174" s="1"/>
      <c r="Y174" s="1"/>
      <c r="Z174" s="1"/>
    </row>
    <row r="175" spans="1:38" s="10" customFormat="1" x14ac:dyDescent="0.35">
      <c r="A175" s="10" t="s">
        <v>349</v>
      </c>
      <c r="B175" s="10" t="s">
        <v>1029</v>
      </c>
      <c r="C175" s="10" t="s">
        <v>341</v>
      </c>
      <c r="D175" s="36">
        <v>40</v>
      </c>
      <c r="E175" s="10" t="s">
        <v>1091</v>
      </c>
      <c r="F175" s="10" t="s">
        <v>1091</v>
      </c>
      <c r="G175" s="10" t="s">
        <v>53</v>
      </c>
      <c r="H175" s="10" t="s">
        <v>1078</v>
      </c>
      <c r="L175" s="10">
        <v>40</v>
      </c>
      <c r="M175" s="1"/>
      <c r="N175" s="10">
        <v>40</v>
      </c>
      <c r="O175" s="56"/>
      <c r="P175" s="1"/>
      <c r="Q175" s="59"/>
      <c r="T175" s="10">
        <v>1990</v>
      </c>
      <c r="U175" s="10">
        <v>2030</v>
      </c>
      <c r="V175" s="10">
        <v>0</v>
      </c>
      <c r="W175" s="10">
        <v>0</v>
      </c>
      <c r="X175" s="10" t="s">
        <v>51</v>
      </c>
      <c r="Y175" s="10" t="s">
        <v>51</v>
      </c>
      <c r="AB175" s="10">
        <v>1</v>
      </c>
      <c r="AC175" s="10">
        <v>2050</v>
      </c>
      <c r="AF175" s="10" t="s">
        <v>215</v>
      </c>
      <c r="AL175" s="10" t="s">
        <v>101</v>
      </c>
    </row>
    <row r="176" spans="1:38" s="10" customFormat="1" x14ac:dyDescent="0.35">
      <c r="A176" s="10" t="s">
        <v>349</v>
      </c>
      <c r="B176" s="10" t="s">
        <v>1030</v>
      </c>
      <c r="C176" s="10" t="s">
        <v>102</v>
      </c>
      <c r="D176" s="10" t="s">
        <v>342</v>
      </c>
      <c r="E176" s="10" t="s">
        <v>1091</v>
      </c>
      <c r="F176" s="10" t="s">
        <v>1091</v>
      </c>
      <c r="G176" s="10" t="s">
        <v>53</v>
      </c>
      <c r="H176" s="10" t="s">
        <v>1078</v>
      </c>
      <c r="L176" s="10" t="s">
        <v>342</v>
      </c>
      <c r="M176" s="1"/>
      <c r="N176" s="10" t="s">
        <v>342</v>
      </c>
      <c r="O176" s="56"/>
      <c r="P176" s="1"/>
      <c r="Q176" s="59"/>
      <c r="T176" s="10">
        <v>1990</v>
      </c>
      <c r="U176" s="10">
        <v>2030</v>
      </c>
      <c r="V176" s="10">
        <v>0</v>
      </c>
      <c r="W176" s="10">
        <v>0</v>
      </c>
      <c r="X176" s="10" t="s">
        <v>51</v>
      </c>
      <c r="Y176" s="10" t="s">
        <v>51</v>
      </c>
      <c r="AB176" s="10">
        <v>1</v>
      </c>
      <c r="AC176" s="10">
        <v>2050</v>
      </c>
      <c r="AF176" s="10" t="s">
        <v>215</v>
      </c>
      <c r="AL176" s="10" t="s">
        <v>343</v>
      </c>
    </row>
    <row r="177" spans="1:38" s="2" customFormat="1" hidden="1" x14ac:dyDescent="0.35">
      <c r="A177" s="2" t="s">
        <v>349</v>
      </c>
      <c r="B177" s="2" t="s">
        <v>1031</v>
      </c>
      <c r="C177" s="26"/>
      <c r="D177" s="26"/>
      <c r="E177" s="26"/>
      <c r="F177" s="26"/>
      <c r="G177" s="26"/>
      <c r="H177" s="10"/>
      <c r="I177" s="10"/>
      <c r="J177" s="10"/>
      <c r="K177" s="1"/>
      <c r="M177" s="10"/>
      <c r="Q177" s="10"/>
      <c r="S177" s="1"/>
      <c r="T177" s="1"/>
      <c r="U177" s="1"/>
      <c r="V177" s="1"/>
      <c r="W177" s="1"/>
      <c r="X177" s="1"/>
      <c r="Y177" s="1"/>
      <c r="Z177" s="1"/>
    </row>
    <row r="178" spans="1:38" s="2" customFormat="1" hidden="1" x14ac:dyDescent="0.35">
      <c r="A178" s="2" t="s">
        <v>350</v>
      </c>
      <c r="B178" s="2" t="s">
        <v>1028</v>
      </c>
      <c r="C178" s="26"/>
      <c r="D178" s="26"/>
      <c r="E178" s="26"/>
      <c r="F178" s="26"/>
      <c r="G178" s="26"/>
      <c r="H178" s="10"/>
      <c r="I178" s="10"/>
      <c r="J178" s="10"/>
      <c r="K178" s="1"/>
      <c r="M178" s="10"/>
      <c r="Q178" s="10"/>
      <c r="S178" s="1"/>
      <c r="T178" s="1"/>
      <c r="U178" s="1"/>
      <c r="V178" s="1"/>
      <c r="W178" s="1"/>
      <c r="X178" s="1"/>
      <c r="Y178" s="1"/>
      <c r="Z178" s="1"/>
    </row>
    <row r="179" spans="1:38" s="10" customFormat="1" x14ac:dyDescent="0.35">
      <c r="A179" s="10" t="s">
        <v>350</v>
      </c>
      <c r="B179" s="10" t="s">
        <v>1029</v>
      </c>
      <c r="C179" s="10" t="s">
        <v>341</v>
      </c>
      <c r="D179" s="36">
        <v>40</v>
      </c>
      <c r="E179" s="10" t="s">
        <v>1091</v>
      </c>
      <c r="F179" s="10" t="s">
        <v>1091</v>
      </c>
      <c r="G179" s="10" t="s">
        <v>53</v>
      </c>
      <c r="H179" s="10" t="s">
        <v>1078</v>
      </c>
      <c r="L179" s="10">
        <v>40</v>
      </c>
      <c r="M179" s="1"/>
      <c r="N179" s="10">
        <v>40</v>
      </c>
      <c r="O179" s="56"/>
      <c r="P179" s="1"/>
      <c r="Q179" s="59"/>
      <c r="T179" s="10">
        <v>1990</v>
      </c>
      <c r="U179" s="10">
        <v>2030</v>
      </c>
      <c r="V179" s="10">
        <v>0</v>
      </c>
      <c r="W179" s="10">
        <v>0</v>
      </c>
      <c r="X179" s="10" t="s">
        <v>51</v>
      </c>
      <c r="Y179" s="10" t="s">
        <v>51</v>
      </c>
      <c r="AB179" s="10">
        <v>1</v>
      </c>
      <c r="AC179" s="10">
        <v>2050</v>
      </c>
      <c r="AF179" s="10" t="s">
        <v>215</v>
      </c>
      <c r="AL179" s="10" t="s">
        <v>101</v>
      </c>
    </row>
    <row r="180" spans="1:38" s="10" customFormat="1" x14ac:dyDescent="0.35">
      <c r="A180" s="10" t="s">
        <v>350</v>
      </c>
      <c r="B180" s="10" t="s">
        <v>1030</v>
      </c>
      <c r="C180" s="10" t="s">
        <v>102</v>
      </c>
      <c r="D180" s="10" t="s">
        <v>342</v>
      </c>
      <c r="E180" s="10" t="s">
        <v>1091</v>
      </c>
      <c r="F180" s="10" t="s">
        <v>1091</v>
      </c>
      <c r="G180" s="10" t="s">
        <v>53</v>
      </c>
      <c r="H180" s="10" t="s">
        <v>1078</v>
      </c>
      <c r="L180" s="10" t="s">
        <v>342</v>
      </c>
      <c r="M180" s="1"/>
      <c r="N180" s="10" t="s">
        <v>342</v>
      </c>
      <c r="O180" s="56"/>
      <c r="P180" s="1"/>
      <c r="Q180" s="59"/>
      <c r="T180" s="10">
        <v>1990</v>
      </c>
      <c r="U180" s="10">
        <v>2030</v>
      </c>
      <c r="V180" s="10">
        <v>0</v>
      </c>
      <c r="W180" s="10">
        <v>0</v>
      </c>
      <c r="X180" s="10" t="s">
        <v>51</v>
      </c>
      <c r="Y180" s="10" t="s">
        <v>51</v>
      </c>
      <c r="AB180" s="10">
        <v>1</v>
      </c>
      <c r="AC180" s="10">
        <v>2050</v>
      </c>
      <c r="AF180" s="10" t="s">
        <v>215</v>
      </c>
      <c r="AL180" s="10" t="s">
        <v>343</v>
      </c>
    </row>
    <row r="181" spans="1:38" s="2" customFormat="1" hidden="1" x14ac:dyDescent="0.35">
      <c r="A181" s="2" t="s">
        <v>350</v>
      </c>
      <c r="B181" s="2" t="s">
        <v>1031</v>
      </c>
      <c r="C181" s="26"/>
      <c r="D181" s="26"/>
      <c r="E181" s="26"/>
      <c r="F181" s="26"/>
      <c r="G181" s="26"/>
      <c r="H181" s="10"/>
      <c r="I181" s="10"/>
      <c r="J181" s="10"/>
      <c r="K181" s="1"/>
      <c r="M181" s="10"/>
      <c r="Q181" s="10"/>
      <c r="S181" s="1"/>
      <c r="T181" s="1"/>
      <c r="U181" s="1"/>
      <c r="V181" s="1"/>
      <c r="W181" s="1"/>
      <c r="X181" s="1"/>
      <c r="Y181" s="1"/>
      <c r="Z181" s="1"/>
    </row>
    <row r="182" spans="1:38" s="2" customFormat="1" hidden="1" x14ac:dyDescent="0.35">
      <c r="A182" s="2" t="s">
        <v>351</v>
      </c>
      <c r="B182" s="2" t="s">
        <v>1028</v>
      </c>
      <c r="C182" s="26" t="s">
        <v>140</v>
      </c>
      <c r="D182" s="26" t="s">
        <v>352</v>
      </c>
      <c r="E182" s="26"/>
      <c r="F182" s="26"/>
      <c r="G182" s="26" t="s">
        <v>353</v>
      </c>
      <c r="H182" s="2" t="s">
        <v>1076</v>
      </c>
      <c r="I182" s="10"/>
      <c r="J182" s="10"/>
      <c r="K182" s="1"/>
      <c r="L182" s="2" t="s">
        <v>352</v>
      </c>
      <c r="M182" s="10"/>
      <c r="P182" s="2" t="s">
        <v>352</v>
      </c>
      <c r="Q182" s="10"/>
      <c r="S182" s="1" t="s">
        <v>45</v>
      </c>
      <c r="T182" s="1"/>
      <c r="U182" s="1">
        <v>2030</v>
      </c>
      <c r="V182" s="1">
        <v>1</v>
      </c>
      <c r="W182" s="1">
        <v>1</v>
      </c>
      <c r="X182" s="1" t="s">
        <v>32</v>
      </c>
      <c r="Y182" s="1" t="s">
        <v>32</v>
      </c>
      <c r="Z182" s="1"/>
      <c r="AB182" s="2">
        <v>0</v>
      </c>
      <c r="AF182" s="2" t="s">
        <v>354</v>
      </c>
    </row>
    <row r="183" spans="1:38" s="10" customFormat="1" x14ac:dyDescent="0.35">
      <c r="A183" s="10" t="s">
        <v>351</v>
      </c>
      <c r="B183" s="10" t="s">
        <v>1029</v>
      </c>
      <c r="C183" s="10" t="s">
        <v>355</v>
      </c>
      <c r="D183" s="10" t="s">
        <v>352</v>
      </c>
      <c r="E183" s="10" t="s">
        <v>1114</v>
      </c>
      <c r="F183" s="10" t="s">
        <v>1097</v>
      </c>
      <c r="G183" s="10" t="s">
        <v>1129</v>
      </c>
      <c r="H183" s="10" t="s">
        <v>1076</v>
      </c>
      <c r="L183" s="10" t="s">
        <v>352</v>
      </c>
      <c r="M183" s="1"/>
      <c r="O183" s="56"/>
      <c r="P183" s="1" t="s">
        <v>352</v>
      </c>
      <c r="Q183" s="59"/>
      <c r="S183" s="10" t="s">
        <v>45</v>
      </c>
      <c r="U183" s="10">
        <v>2030</v>
      </c>
      <c r="V183" s="10">
        <v>1</v>
      </c>
      <c r="W183" s="10">
        <v>1</v>
      </c>
      <c r="X183" s="10" t="s">
        <v>32</v>
      </c>
      <c r="Y183" s="10" t="s">
        <v>32</v>
      </c>
      <c r="AB183" s="10">
        <v>0</v>
      </c>
      <c r="AF183" s="10" t="s">
        <v>354</v>
      </c>
      <c r="AL183" s="10" t="s">
        <v>356</v>
      </c>
    </row>
    <row r="184" spans="1:38" s="10" customFormat="1" ht="17" x14ac:dyDescent="0.35">
      <c r="A184" s="10" t="s">
        <v>351</v>
      </c>
      <c r="B184" s="10" t="s">
        <v>1030</v>
      </c>
      <c r="C184" s="33">
        <v>44809</v>
      </c>
      <c r="D184" s="36">
        <v>98.95</v>
      </c>
      <c r="E184" s="10" t="s">
        <v>1100</v>
      </c>
      <c r="F184" s="10" t="s">
        <v>1101</v>
      </c>
      <c r="G184" s="10" t="s">
        <v>48</v>
      </c>
      <c r="H184" s="10" t="s">
        <v>1077</v>
      </c>
      <c r="L184" s="10">
        <v>98.95</v>
      </c>
      <c r="M184" s="1"/>
      <c r="N184" s="10">
        <v>30.41</v>
      </c>
      <c r="O184" s="56"/>
      <c r="P184" s="1">
        <v>68.540000000000006</v>
      </c>
      <c r="Q184" s="59"/>
      <c r="S184" s="10" t="s">
        <v>45</v>
      </c>
      <c r="U184" s="10">
        <v>2030</v>
      </c>
      <c r="V184" s="10">
        <v>1</v>
      </c>
      <c r="W184" s="10">
        <v>1</v>
      </c>
      <c r="X184" s="10" t="s">
        <v>32</v>
      </c>
      <c r="Y184" s="10" t="s">
        <v>32</v>
      </c>
      <c r="AB184" s="10">
        <v>0</v>
      </c>
      <c r="AF184" s="10" t="s">
        <v>179</v>
      </c>
      <c r="AG184" s="10" t="s">
        <v>357</v>
      </c>
    </row>
    <row r="185" spans="1:38" s="2" customFormat="1" hidden="1" x14ac:dyDescent="0.35">
      <c r="A185" s="2" t="s">
        <v>351</v>
      </c>
      <c r="B185" s="2" t="s">
        <v>1031</v>
      </c>
      <c r="C185" s="26"/>
      <c r="D185" s="26">
        <v>74.290000000000006</v>
      </c>
      <c r="E185" s="26"/>
      <c r="F185" s="26"/>
      <c r="G185" s="26"/>
      <c r="H185" s="10" t="s">
        <v>1077</v>
      </c>
      <c r="I185" s="10"/>
      <c r="J185" s="10"/>
      <c r="K185" s="1"/>
      <c r="L185" s="2">
        <v>74.290000000000006</v>
      </c>
      <c r="M185" s="10"/>
      <c r="N185" s="2">
        <v>33.07</v>
      </c>
      <c r="P185" s="2">
        <v>41.22</v>
      </c>
      <c r="Q185" s="10"/>
      <c r="S185" s="1" t="s">
        <v>30</v>
      </c>
      <c r="T185" s="1"/>
      <c r="U185" s="1">
        <v>2030</v>
      </c>
      <c r="V185" s="1">
        <v>1</v>
      </c>
      <c r="W185" s="1">
        <v>1</v>
      </c>
      <c r="X185" s="1" t="s">
        <v>32</v>
      </c>
      <c r="Y185" s="1" t="s">
        <v>32</v>
      </c>
      <c r="Z185" s="1"/>
      <c r="AB185" s="2">
        <v>0</v>
      </c>
    </row>
    <row r="186" spans="1:38" s="2" customFormat="1" hidden="1" x14ac:dyDescent="0.35">
      <c r="A186" s="2" t="s">
        <v>358</v>
      </c>
      <c r="B186" s="2" t="s">
        <v>1028</v>
      </c>
      <c r="C186" s="26" t="s">
        <v>359</v>
      </c>
      <c r="D186" s="26">
        <v>17</v>
      </c>
      <c r="E186" s="26"/>
      <c r="F186" s="26"/>
      <c r="G186" s="26" t="s">
        <v>53</v>
      </c>
      <c r="H186" s="10" t="s">
        <v>1077</v>
      </c>
      <c r="I186" s="10"/>
      <c r="J186" s="10"/>
      <c r="K186" s="1"/>
      <c r="L186" s="2">
        <v>17</v>
      </c>
      <c r="M186" s="10"/>
      <c r="Q186" s="10"/>
      <c r="S186" s="1" t="s">
        <v>45</v>
      </c>
      <c r="T186" s="1"/>
      <c r="U186" s="1">
        <v>2030</v>
      </c>
      <c r="V186" s="1">
        <v>1</v>
      </c>
      <c r="W186" s="1">
        <v>1</v>
      </c>
      <c r="X186" s="1" t="s">
        <v>32</v>
      </c>
      <c r="Y186" s="1" t="s">
        <v>32</v>
      </c>
      <c r="Z186" s="1"/>
      <c r="AB186" s="2">
        <v>0</v>
      </c>
      <c r="AF186" s="2" t="s">
        <v>360</v>
      </c>
    </row>
    <row r="187" spans="1:38" s="10" customFormat="1" ht="17.5" x14ac:dyDescent="0.35">
      <c r="A187" s="10" t="s">
        <v>358</v>
      </c>
      <c r="B187" s="10" t="s">
        <v>1029</v>
      </c>
      <c r="C187" s="10" t="s">
        <v>361</v>
      </c>
      <c r="D187" s="36">
        <v>17</v>
      </c>
      <c r="E187" s="10" t="s">
        <v>1114</v>
      </c>
      <c r="G187" s="10" t="s">
        <v>53</v>
      </c>
      <c r="H187" s="12" t="s">
        <v>1130</v>
      </c>
      <c r="L187" s="10">
        <v>17</v>
      </c>
      <c r="M187" s="1"/>
      <c r="O187" s="56"/>
      <c r="P187" s="1"/>
      <c r="Q187" s="59"/>
      <c r="S187" s="10" t="s">
        <v>45</v>
      </c>
      <c r="U187" s="10">
        <v>2030</v>
      </c>
      <c r="V187" s="10">
        <v>1</v>
      </c>
      <c r="W187" s="10">
        <v>1</v>
      </c>
      <c r="X187" s="10" t="s">
        <v>32</v>
      </c>
      <c r="Y187" s="10" t="s">
        <v>32</v>
      </c>
      <c r="AB187" s="10">
        <v>0</v>
      </c>
      <c r="AF187" s="10" t="s">
        <v>360</v>
      </c>
      <c r="AJ187" s="10" t="s">
        <v>362</v>
      </c>
    </row>
    <row r="188" spans="1:38" s="10" customFormat="1" x14ac:dyDescent="0.35">
      <c r="A188" s="10" t="s">
        <v>358</v>
      </c>
      <c r="B188" s="10" t="s">
        <v>1030</v>
      </c>
      <c r="C188" s="10" t="s">
        <v>363</v>
      </c>
      <c r="D188" s="36">
        <v>21</v>
      </c>
      <c r="E188" s="10" t="s">
        <v>1100</v>
      </c>
      <c r="F188" s="10" t="s">
        <v>1101</v>
      </c>
      <c r="G188" s="10" t="s">
        <v>53</v>
      </c>
      <c r="H188" s="10" t="s">
        <v>1077</v>
      </c>
      <c r="L188" s="10">
        <v>21</v>
      </c>
      <c r="M188" s="1"/>
      <c r="N188" s="10">
        <v>2</v>
      </c>
      <c r="O188" s="56"/>
      <c r="P188" s="1">
        <v>19</v>
      </c>
      <c r="Q188" s="59"/>
      <c r="S188" s="10" t="s">
        <v>45</v>
      </c>
      <c r="U188" s="10">
        <v>2030</v>
      </c>
      <c r="V188" s="10">
        <v>1</v>
      </c>
      <c r="W188" s="10">
        <v>1</v>
      </c>
      <c r="X188" s="10" t="s">
        <v>32</v>
      </c>
      <c r="Y188" s="10" t="s">
        <v>32</v>
      </c>
      <c r="AB188" s="10">
        <v>0</v>
      </c>
      <c r="AF188" s="10" t="s">
        <v>364</v>
      </c>
      <c r="AJ188" s="10" t="s">
        <v>365</v>
      </c>
    </row>
    <row r="189" spans="1:38" s="2" customFormat="1" hidden="1" x14ac:dyDescent="0.35">
      <c r="A189" s="2" t="s">
        <v>358</v>
      </c>
      <c r="B189" s="2" t="s">
        <v>1031</v>
      </c>
      <c r="C189" s="26"/>
      <c r="D189" s="26"/>
      <c r="E189" s="26"/>
      <c r="F189" s="26"/>
      <c r="G189" s="26"/>
      <c r="H189" s="10"/>
      <c r="I189" s="10"/>
      <c r="J189" s="10"/>
      <c r="K189" s="1"/>
      <c r="M189" s="10"/>
      <c r="Q189" s="10"/>
      <c r="S189" s="1"/>
      <c r="T189" s="1"/>
      <c r="U189" s="1"/>
      <c r="V189" s="1"/>
      <c r="W189" s="1"/>
      <c r="X189" s="1"/>
      <c r="Y189" s="1"/>
      <c r="Z189" s="1"/>
    </row>
    <row r="190" spans="1:38" s="2" customFormat="1" hidden="1" x14ac:dyDescent="0.35">
      <c r="A190" s="2" t="s">
        <v>366</v>
      </c>
      <c r="B190" s="2" t="s">
        <v>1028</v>
      </c>
      <c r="C190" s="26"/>
      <c r="D190" s="26"/>
      <c r="E190" s="26"/>
      <c r="F190" s="26"/>
      <c r="G190" s="26"/>
      <c r="H190" s="2" t="s">
        <v>1078</v>
      </c>
      <c r="I190" s="10"/>
      <c r="J190" s="10"/>
      <c r="K190" s="1"/>
      <c r="M190" s="10"/>
      <c r="Q190" s="10"/>
      <c r="S190" s="1"/>
      <c r="T190" s="1"/>
      <c r="U190" s="1"/>
      <c r="V190" s="1"/>
      <c r="W190" s="1"/>
      <c r="X190" s="1"/>
      <c r="Y190" s="1"/>
      <c r="Z190" s="1"/>
    </row>
    <row r="191" spans="1:38" s="10" customFormat="1" x14ac:dyDescent="0.35">
      <c r="A191" s="10" t="s">
        <v>366</v>
      </c>
      <c r="B191" s="10" t="s">
        <v>1029</v>
      </c>
      <c r="C191" s="10" t="s">
        <v>367</v>
      </c>
      <c r="D191" s="36">
        <v>40</v>
      </c>
      <c r="E191" s="10" t="s">
        <v>1091</v>
      </c>
      <c r="F191" s="10" t="s">
        <v>1091</v>
      </c>
      <c r="G191" s="10" t="s">
        <v>53</v>
      </c>
      <c r="H191" s="10" t="s">
        <v>1078</v>
      </c>
      <c r="L191" s="10">
        <v>40</v>
      </c>
      <c r="M191" s="1"/>
      <c r="N191" s="10">
        <v>40</v>
      </c>
      <c r="O191" s="56"/>
      <c r="P191" s="1"/>
      <c r="Q191" s="59"/>
      <c r="T191" s="10">
        <v>1990</v>
      </c>
      <c r="U191" s="10">
        <v>2030</v>
      </c>
      <c r="V191" s="10">
        <v>0</v>
      </c>
      <c r="W191" s="10">
        <v>0</v>
      </c>
      <c r="X191" s="10" t="s">
        <v>51</v>
      </c>
      <c r="Y191" s="10" t="s">
        <v>51</v>
      </c>
      <c r="AB191" s="10">
        <v>1</v>
      </c>
      <c r="AC191" s="10">
        <v>2050</v>
      </c>
      <c r="AF191" s="10" t="s">
        <v>215</v>
      </c>
      <c r="AL191" s="10" t="s">
        <v>101</v>
      </c>
    </row>
    <row r="192" spans="1:38" s="10" customFormat="1" x14ac:dyDescent="0.35">
      <c r="A192" s="10" t="s">
        <v>366</v>
      </c>
      <c r="B192" s="10" t="s">
        <v>1030</v>
      </c>
      <c r="C192" s="10" t="s">
        <v>102</v>
      </c>
      <c r="D192" s="10" t="s">
        <v>342</v>
      </c>
      <c r="E192" s="10" t="s">
        <v>1091</v>
      </c>
      <c r="F192" s="10" t="s">
        <v>1091</v>
      </c>
      <c r="G192" s="10" t="s">
        <v>53</v>
      </c>
      <c r="L192" s="10" t="s">
        <v>342</v>
      </c>
      <c r="M192" s="1"/>
      <c r="N192" s="10" t="s">
        <v>342</v>
      </c>
      <c r="O192" s="56"/>
      <c r="P192" s="1"/>
      <c r="Q192" s="59"/>
      <c r="T192" s="10">
        <v>1990</v>
      </c>
      <c r="U192" s="10">
        <v>2030</v>
      </c>
      <c r="V192" s="10">
        <v>0</v>
      </c>
      <c r="W192" s="10">
        <v>0</v>
      </c>
      <c r="X192" s="10" t="s">
        <v>51</v>
      </c>
      <c r="Y192" s="10" t="s">
        <v>51</v>
      </c>
      <c r="AB192" s="10">
        <v>1</v>
      </c>
      <c r="AC192" s="10">
        <v>2050</v>
      </c>
      <c r="AF192" s="10" t="s">
        <v>215</v>
      </c>
      <c r="AL192" s="10" t="s">
        <v>343</v>
      </c>
    </row>
    <row r="193" spans="1:36" s="2" customFormat="1" hidden="1" x14ac:dyDescent="0.35">
      <c r="A193" s="2" t="s">
        <v>366</v>
      </c>
      <c r="B193" s="2" t="s">
        <v>1031</v>
      </c>
      <c r="C193" s="26"/>
      <c r="D193" s="26"/>
      <c r="E193" s="26"/>
      <c r="F193" s="26"/>
      <c r="G193" s="26"/>
      <c r="H193" s="10"/>
      <c r="I193" s="10"/>
      <c r="J193" s="10"/>
      <c r="K193" s="1"/>
      <c r="M193" s="10"/>
      <c r="Q193" s="10"/>
      <c r="S193" s="1"/>
      <c r="T193" s="1"/>
      <c r="U193" s="1"/>
      <c r="V193" s="1"/>
      <c r="W193" s="1"/>
      <c r="X193" s="1"/>
      <c r="Y193" s="1"/>
      <c r="Z193" s="1"/>
    </row>
    <row r="194" spans="1:36" s="2" customFormat="1" hidden="1" x14ac:dyDescent="0.35">
      <c r="A194" s="2" t="s">
        <v>368</v>
      </c>
      <c r="B194" s="2" t="s">
        <v>1028</v>
      </c>
      <c r="C194" s="26" t="s">
        <v>369</v>
      </c>
      <c r="D194" s="26">
        <v>60</v>
      </c>
      <c r="E194" s="26"/>
      <c r="F194" s="26"/>
      <c r="G194" s="26"/>
      <c r="H194" s="10" t="s">
        <v>1077</v>
      </c>
      <c r="I194" s="10"/>
      <c r="J194" s="10"/>
      <c r="K194" s="1"/>
      <c r="L194" s="2">
        <v>60</v>
      </c>
      <c r="M194" s="10"/>
      <c r="N194" s="2">
        <v>40</v>
      </c>
      <c r="P194" s="2" t="s">
        <v>370</v>
      </c>
      <c r="Q194" s="10"/>
      <c r="S194" s="1" t="s">
        <v>45</v>
      </c>
      <c r="T194" s="1"/>
      <c r="U194" s="1"/>
      <c r="V194" s="1">
        <v>1</v>
      </c>
      <c r="W194" s="1">
        <v>1</v>
      </c>
      <c r="X194" s="1" t="s">
        <v>32</v>
      </c>
      <c r="Y194" s="1" t="s">
        <v>32</v>
      </c>
      <c r="Z194" s="1"/>
      <c r="AB194" s="2">
        <v>0</v>
      </c>
      <c r="AF194" s="2" t="s">
        <v>371</v>
      </c>
    </row>
    <row r="195" spans="1:36" s="10" customFormat="1" ht="17" x14ac:dyDescent="0.35">
      <c r="A195" s="10" t="s">
        <v>368</v>
      </c>
      <c r="B195" s="10" t="s">
        <v>1029</v>
      </c>
      <c r="C195" s="33">
        <v>42685</v>
      </c>
      <c r="D195" s="36">
        <v>60</v>
      </c>
      <c r="E195" s="10" t="s">
        <v>1100</v>
      </c>
      <c r="F195" s="10" t="s">
        <v>1101</v>
      </c>
      <c r="G195" s="10" t="s">
        <v>38</v>
      </c>
      <c r="H195" s="10" t="s">
        <v>1077</v>
      </c>
      <c r="L195" s="10">
        <v>60</v>
      </c>
      <c r="M195" s="1"/>
      <c r="N195" s="10">
        <v>40</v>
      </c>
      <c r="O195" s="56"/>
      <c r="P195" s="1" t="s">
        <v>370</v>
      </c>
      <c r="Q195" s="59"/>
      <c r="S195" s="10" t="s">
        <v>45</v>
      </c>
      <c r="V195" s="10">
        <v>1</v>
      </c>
      <c r="W195" s="10">
        <v>1</v>
      </c>
      <c r="X195" s="10" t="s">
        <v>32</v>
      </c>
      <c r="Y195" s="10" t="s">
        <v>32</v>
      </c>
      <c r="AB195" s="10">
        <v>0</v>
      </c>
      <c r="AF195" s="10" t="s">
        <v>371</v>
      </c>
      <c r="AG195" s="10" t="s">
        <v>372</v>
      </c>
    </row>
    <row r="196" spans="1:36" s="10" customFormat="1" ht="17.5" x14ac:dyDescent="0.35">
      <c r="A196" s="10" t="s">
        <v>368</v>
      </c>
      <c r="B196" s="10" t="s">
        <v>1030</v>
      </c>
      <c r="D196" s="36"/>
      <c r="H196" s="10" t="s">
        <v>1077</v>
      </c>
      <c r="M196" s="1"/>
      <c r="O196" s="56"/>
      <c r="P196" s="1"/>
      <c r="Q196" s="59"/>
      <c r="T196" s="12">
        <v>2000</v>
      </c>
      <c r="U196" s="10">
        <v>2030</v>
      </c>
      <c r="V196" s="10">
        <v>1</v>
      </c>
      <c r="W196" s="10">
        <v>1</v>
      </c>
      <c r="X196" s="10" t="s">
        <v>51</v>
      </c>
      <c r="Y196" s="10" t="s">
        <v>51</v>
      </c>
    </row>
    <row r="197" spans="1:36" s="2" customFormat="1" ht="17" hidden="1" x14ac:dyDescent="0.35">
      <c r="A197" s="2" t="s">
        <v>368</v>
      </c>
      <c r="B197" s="2" t="s">
        <v>1031</v>
      </c>
      <c r="C197" s="31">
        <v>46002</v>
      </c>
      <c r="D197" s="26">
        <v>65</v>
      </c>
      <c r="E197" s="26"/>
      <c r="F197" s="26"/>
      <c r="G197" s="26"/>
      <c r="H197" s="10" t="s">
        <v>1077</v>
      </c>
      <c r="I197" s="23"/>
      <c r="J197" s="23"/>
      <c r="K197" s="19"/>
      <c r="L197" s="2">
        <v>65</v>
      </c>
      <c r="M197" s="10"/>
      <c r="N197" s="2">
        <v>41.3</v>
      </c>
      <c r="P197" s="2">
        <v>23.7</v>
      </c>
      <c r="Q197" s="10"/>
      <c r="S197" s="1" t="s">
        <v>30</v>
      </c>
      <c r="T197" s="1">
        <v>2000</v>
      </c>
      <c r="U197" s="1">
        <v>2030</v>
      </c>
      <c r="V197" s="1">
        <v>1</v>
      </c>
      <c r="W197" s="1">
        <v>1</v>
      </c>
      <c r="X197" s="1" t="s">
        <v>32</v>
      </c>
      <c r="Y197" s="1" t="s">
        <v>32</v>
      </c>
      <c r="Z197" s="1"/>
      <c r="AB197" s="2">
        <v>0</v>
      </c>
    </row>
    <row r="198" spans="1:36" s="2" customFormat="1" hidden="1" x14ac:dyDescent="0.35">
      <c r="A198" s="2" t="s">
        <v>373</v>
      </c>
      <c r="B198" s="2" t="s">
        <v>1028</v>
      </c>
      <c r="C198" s="26" t="s">
        <v>83</v>
      </c>
      <c r="D198" s="26">
        <v>44.7</v>
      </c>
      <c r="E198" s="26"/>
      <c r="F198" s="26"/>
      <c r="G198" s="26" t="s">
        <v>38</v>
      </c>
      <c r="H198" s="2" t="s">
        <v>1076</v>
      </c>
      <c r="I198" s="10"/>
      <c r="J198" s="10"/>
      <c r="K198" s="1"/>
      <c r="L198" s="2">
        <v>44.7</v>
      </c>
      <c r="M198" s="10"/>
      <c r="P198" s="2">
        <v>44.7</v>
      </c>
      <c r="Q198" s="10"/>
      <c r="R198" s="2" t="s">
        <v>374</v>
      </c>
      <c r="S198" s="1"/>
      <c r="T198" s="1">
        <v>2014</v>
      </c>
      <c r="U198" s="1">
        <v>2030</v>
      </c>
      <c r="V198" s="1">
        <v>1</v>
      </c>
      <c r="W198" s="1">
        <v>1</v>
      </c>
      <c r="X198" s="1" t="s">
        <v>51</v>
      </c>
      <c r="Y198" s="1" t="s">
        <v>51</v>
      </c>
      <c r="Z198" s="1"/>
      <c r="AA198" s="2">
        <v>2025</v>
      </c>
      <c r="AB198" s="2">
        <v>0</v>
      </c>
      <c r="AF198" s="2" t="s">
        <v>375</v>
      </c>
    </row>
    <row r="199" spans="1:36" s="10" customFormat="1" x14ac:dyDescent="0.35">
      <c r="A199" s="10" t="s">
        <v>373</v>
      </c>
      <c r="B199" s="10" t="s">
        <v>1029</v>
      </c>
      <c r="C199" s="10" t="s">
        <v>40</v>
      </c>
      <c r="D199" s="10">
        <v>44.7</v>
      </c>
      <c r="E199" s="10" t="s">
        <v>1097</v>
      </c>
      <c r="F199" s="10" t="s">
        <v>1097</v>
      </c>
      <c r="G199" s="10" t="s">
        <v>38</v>
      </c>
      <c r="H199" s="10" t="s">
        <v>1076</v>
      </c>
      <c r="L199" s="10">
        <v>44.7</v>
      </c>
      <c r="M199" s="1"/>
      <c r="O199" s="56"/>
      <c r="P199" s="1">
        <v>44.7</v>
      </c>
      <c r="Q199" s="59"/>
      <c r="R199" s="10" t="s">
        <v>374</v>
      </c>
      <c r="T199" s="10">
        <v>2014</v>
      </c>
      <c r="U199" s="10">
        <v>2030</v>
      </c>
      <c r="V199" s="10">
        <v>1</v>
      </c>
      <c r="W199" s="10">
        <v>1</v>
      </c>
      <c r="X199" s="10" t="s">
        <v>51</v>
      </c>
      <c r="Y199" s="10" t="s">
        <v>51</v>
      </c>
      <c r="AA199" s="10">
        <v>2025</v>
      </c>
      <c r="AB199" s="10">
        <v>0</v>
      </c>
      <c r="AF199" s="10" t="s">
        <v>376</v>
      </c>
      <c r="AJ199" s="10" t="s">
        <v>377</v>
      </c>
    </row>
    <row r="200" spans="1:36" s="10" customFormat="1" ht="17" x14ac:dyDescent="0.35">
      <c r="A200" s="10" t="s">
        <v>373</v>
      </c>
      <c r="B200" s="10" t="s">
        <v>1030</v>
      </c>
      <c r="C200" s="33">
        <v>44658</v>
      </c>
      <c r="D200" s="10">
        <v>45</v>
      </c>
      <c r="E200" s="10" t="s">
        <v>1097</v>
      </c>
      <c r="F200" s="10" t="s">
        <v>1097</v>
      </c>
      <c r="G200" s="10" t="s">
        <v>38</v>
      </c>
      <c r="H200" s="10" t="s">
        <v>1076</v>
      </c>
      <c r="L200" s="10">
        <v>45</v>
      </c>
      <c r="M200" s="1"/>
      <c r="O200" s="56"/>
      <c r="P200" s="1">
        <v>45</v>
      </c>
      <c r="Q200" s="59"/>
      <c r="R200" s="10">
        <v>39</v>
      </c>
      <c r="T200" s="10">
        <v>2014</v>
      </c>
      <c r="U200" s="10">
        <v>2030</v>
      </c>
      <c r="V200" s="10">
        <v>1</v>
      </c>
      <c r="W200" s="10">
        <v>1</v>
      </c>
      <c r="X200" s="10" t="s">
        <v>51</v>
      </c>
      <c r="Y200" s="10" t="s">
        <v>51</v>
      </c>
      <c r="AA200" s="10">
        <v>2025</v>
      </c>
      <c r="AB200" s="10">
        <v>0</v>
      </c>
      <c r="AF200" s="10" t="s">
        <v>376</v>
      </c>
      <c r="AG200" s="10" t="s">
        <v>378</v>
      </c>
    </row>
    <row r="201" spans="1:36" s="2" customFormat="1" hidden="1" x14ac:dyDescent="0.35">
      <c r="A201" s="2" t="s">
        <v>373</v>
      </c>
      <c r="B201" s="2" t="s">
        <v>1031</v>
      </c>
      <c r="C201" s="26"/>
      <c r="D201" s="26"/>
      <c r="E201" s="26"/>
      <c r="F201" s="26"/>
      <c r="G201" s="26"/>
      <c r="H201" s="10"/>
      <c r="I201" s="10"/>
      <c r="J201" s="10"/>
      <c r="K201" s="1"/>
      <c r="M201" s="10"/>
      <c r="Q201" s="10"/>
      <c r="S201" s="1"/>
      <c r="T201" s="1"/>
      <c r="U201" s="1"/>
      <c r="V201" s="1"/>
      <c r="W201" s="1"/>
      <c r="X201" s="1"/>
      <c r="Y201" s="1"/>
      <c r="Z201" s="1"/>
    </row>
    <row r="202" spans="1:36" s="2" customFormat="1" hidden="1" x14ac:dyDescent="0.35">
      <c r="A202" s="2" t="s">
        <v>379</v>
      </c>
      <c r="B202" s="2" t="s">
        <v>1028</v>
      </c>
      <c r="C202" s="26" t="s">
        <v>380</v>
      </c>
      <c r="D202" s="26">
        <v>25</v>
      </c>
      <c r="E202" s="26"/>
      <c r="F202" s="26"/>
      <c r="G202" s="26" t="s">
        <v>113</v>
      </c>
      <c r="H202" s="2" t="s">
        <v>1076</v>
      </c>
      <c r="I202" s="10"/>
      <c r="J202" s="10"/>
      <c r="K202" s="1"/>
      <c r="L202" s="2">
        <v>25</v>
      </c>
      <c r="M202" s="10"/>
      <c r="P202" s="2">
        <v>25</v>
      </c>
      <c r="Q202" s="10"/>
      <c r="S202" s="1"/>
      <c r="T202" s="1">
        <v>2010</v>
      </c>
      <c r="U202" s="1">
        <v>2030</v>
      </c>
      <c r="V202" s="1">
        <v>1</v>
      </c>
      <c r="W202" s="1">
        <v>1</v>
      </c>
      <c r="X202" s="1" t="s">
        <v>51</v>
      </c>
      <c r="Y202" s="1" t="s">
        <v>51</v>
      </c>
      <c r="Z202" s="1"/>
      <c r="AB202" s="2">
        <v>0</v>
      </c>
      <c r="AF202" s="2" t="s">
        <v>381</v>
      </c>
    </row>
    <row r="203" spans="1:36" s="10" customFormat="1" x14ac:dyDescent="0.35">
      <c r="A203" s="10" t="s">
        <v>379</v>
      </c>
      <c r="B203" s="10" t="s">
        <v>1029</v>
      </c>
      <c r="C203" s="10" t="s">
        <v>382</v>
      </c>
      <c r="D203" s="10">
        <v>25</v>
      </c>
      <c r="E203" s="10" t="s">
        <v>1097</v>
      </c>
      <c r="F203" s="10" t="s">
        <v>1097</v>
      </c>
      <c r="G203" s="10" t="s">
        <v>113</v>
      </c>
      <c r="H203" s="10" t="s">
        <v>1076</v>
      </c>
      <c r="L203" s="10">
        <v>25</v>
      </c>
      <c r="M203" s="1"/>
      <c r="O203" s="56"/>
      <c r="P203" s="1">
        <v>25</v>
      </c>
      <c r="Q203" s="59"/>
      <c r="T203" s="10">
        <v>2010</v>
      </c>
      <c r="U203" s="10">
        <v>2030</v>
      </c>
      <c r="V203" s="10">
        <v>1</v>
      </c>
      <c r="W203" s="10">
        <v>1</v>
      </c>
      <c r="X203" s="10" t="s">
        <v>51</v>
      </c>
      <c r="Y203" s="10" t="s">
        <v>51</v>
      </c>
      <c r="AB203" s="10">
        <v>0</v>
      </c>
      <c r="AF203" s="10" t="s">
        <v>381</v>
      </c>
      <c r="AJ203" s="10" t="s">
        <v>383</v>
      </c>
    </row>
    <row r="204" spans="1:36" s="10" customFormat="1" x14ac:dyDescent="0.35">
      <c r="A204" s="10" t="s">
        <v>379</v>
      </c>
      <c r="B204" s="10" t="s">
        <v>1030</v>
      </c>
      <c r="C204" s="10" t="s">
        <v>336</v>
      </c>
      <c r="D204" s="10">
        <v>27</v>
      </c>
      <c r="E204" s="10" t="s">
        <v>1100</v>
      </c>
      <c r="F204" s="10" t="s">
        <v>1101</v>
      </c>
      <c r="G204" s="10" t="s">
        <v>113</v>
      </c>
      <c r="H204" s="10" t="s">
        <v>1077</v>
      </c>
      <c r="L204" s="10">
        <v>27</v>
      </c>
      <c r="M204" s="1"/>
      <c r="N204" s="10">
        <v>7</v>
      </c>
      <c r="O204" s="56"/>
      <c r="P204" s="1">
        <v>20</v>
      </c>
      <c r="Q204" s="59"/>
      <c r="S204" s="10" t="s">
        <v>45</v>
      </c>
      <c r="U204" s="10">
        <v>2030</v>
      </c>
      <c r="V204" s="10">
        <v>1</v>
      </c>
      <c r="W204" s="10">
        <v>1</v>
      </c>
      <c r="X204" s="10" t="s">
        <v>32</v>
      </c>
      <c r="Y204" s="10" t="s">
        <v>32</v>
      </c>
      <c r="AB204" s="10">
        <v>0</v>
      </c>
      <c r="AF204" s="10" t="s">
        <v>384</v>
      </c>
      <c r="AJ204" s="10" t="s">
        <v>385</v>
      </c>
    </row>
    <row r="205" spans="1:36" s="2" customFormat="1" hidden="1" x14ac:dyDescent="0.35">
      <c r="A205" s="2" t="s">
        <v>379</v>
      </c>
      <c r="B205" s="2" t="s">
        <v>1031</v>
      </c>
      <c r="C205" s="26"/>
      <c r="D205" s="26"/>
      <c r="E205" s="26"/>
      <c r="F205" s="26"/>
      <c r="G205" s="26"/>
      <c r="H205" s="10"/>
      <c r="I205" s="10"/>
      <c r="J205" s="10"/>
      <c r="K205" s="1"/>
      <c r="M205" s="10"/>
      <c r="Q205" s="10"/>
      <c r="S205" s="1"/>
      <c r="T205" s="1"/>
      <c r="U205" s="1"/>
      <c r="V205" s="1"/>
      <c r="W205" s="1"/>
      <c r="X205" s="1"/>
      <c r="Y205" s="1"/>
      <c r="Z205" s="1"/>
    </row>
    <row r="206" spans="1:36" s="2" customFormat="1" hidden="1" x14ac:dyDescent="0.35">
      <c r="A206" s="2" t="s">
        <v>386</v>
      </c>
      <c r="B206" s="2" t="s">
        <v>1028</v>
      </c>
      <c r="C206" s="26">
        <v>42738</v>
      </c>
      <c r="D206" s="26"/>
      <c r="E206" s="26"/>
      <c r="F206" s="26"/>
      <c r="G206" s="26"/>
      <c r="H206" s="10"/>
      <c r="I206" s="10"/>
      <c r="J206" s="10"/>
      <c r="K206" s="1"/>
      <c r="M206" s="10"/>
      <c r="Q206" s="10"/>
      <c r="S206" s="1"/>
      <c r="T206" s="1"/>
      <c r="U206" s="1"/>
      <c r="V206" s="1">
        <v>1</v>
      </c>
      <c r="W206" s="1">
        <v>1</v>
      </c>
      <c r="X206" s="1"/>
      <c r="Y206" s="1"/>
      <c r="Z206" s="1"/>
      <c r="AF206" s="2" t="s">
        <v>387</v>
      </c>
    </row>
    <row r="207" spans="1:36" s="46" customFormat="1" x14ac:dyDescent="0.35">
      <c r="A207" s="46" t="s">
        <v>386</v>
      </c>
      <c r="B207" s="46" t="s">
        <v>1029</v>
      </c>
      <c r="C207" s="46" t="s">
        <v>388</v>
      </c>
      <c r="G207" s="46" t="s">
        <v>389</v>
      </c>
      <c r="I207" s="48" t="s">
        <v>1085</v>
      </c>
      <c r="M207" s="51"/>
      <c r="O207" s="57"/>
      <c r="P207" s="51"/>
      <c r="Q207" s="60"/>
      <c r="V207" s="46">
        <v>1</v>
      </c>
      <c r="W207" s="46">
        <v>1</v>
      </c>
      <c r="AF207" s="46" t="s">
        <v>387</v>
      </c>
    </row>
    <row r="208" spans="1:36" s="46" customFormat="1" x14ac:dyDescent="0.35">
      <c r="A208" s="46" t="s">
        <v>386</v>
      </c>
      <c r="B208" s="46" t="s">
        <v>1030</v>
      </c>
      <c r="C208" s="50">
        <v>44784</v>
      </c>
      <c r="G208" s="46" t="s">
        <v>48</v>
      </c>
      <c r="I208" s="48" t="s">
        <v>1085</v>
      </c>
      <c r="M208" s="51"/>
      <c r="O208" s="57"/>
      <c r="P208" s="51"/>
      <c r="Q208" s="60"/>
      <c r="V208" s="46">
        <v>1</v>
      </c>
      <c r="W208" s="46">
        <v>1</v>
      </c>
      <c r="AF208" s="46" t="s">
        <v>390</v>
      </c>
      <c r="AG208" s="46" t="s">
        <v>391</v>
      </c>
    </row>
    <row r="209" spans="1:38" s="2" customFormat="1" hidden="1" x14ac:dyDescent="0.35">
      <c r="A209" s="2" t="s">
        <v>386</v>
      </c>
      <c r="B209" s="2" t="s">
        <v>1031</v>
      </c>
      <c r="C209" s="26"/>
      <c r="D209" s="26"/>
      <c r="E209" s="26"/>
      <c r="F209" s="26"/>
      <c r="G209" s="26"/>
      <c r="H209" s="10"/>
      <c r="I209" s="10"/>
      <c r="J209" s="10"/>
      <c r="K209" s="1"/>
      <c r="M209" s="10"/>
      <c r="Q209" s="10"/>
      <c r="S209" s="1"/>
      <c r="T209" s="1"/>
      <c r="U209" s="1"/>
      <c r="V209" s="1"/>
      <c r="W209" s="1"/>
      <c r="X209" s="1"/>
      <c r="Y209" s="1"/>
      <c r="Z209" s="1"/>
    </row>
    <row r="210" spans="1:38" s="2" customFormat="1" hidden="1" x14ac:dyDescent="0.35">
      <c r="A210" s="2" t="s">
        <v>392</v>
      </c>
      <c r="B210" s="2" t="s">
        <v>1028</v>
      </c>
      <c r="C210" s="26" t="s">
        <v>29</v>
      </c>
      <c r="D210" s="26">
        <v>22.7</v>
      </c>
      <c r="E210" s="26"/>
      <c r="F210" s="26"/>
      <c r="G210" s="26"/>
      <c r="H210" s="10" t="s">
        <v>1077</v>
      </c>
      <c r="I210" s="10"/>
      <c r="J210" s="10"/>
      <c r="K210" s="1"/>
      <c r="L210" s="2">
        <v>22.7</v>
      </c>
      <c r="M210" s="10"/>
      <c r="N210" s="2">
        <v>22.7</v>
      </c>
      <c r="P210" s="2">
        <v>41.25</v>
      </c>
      <c r="Q210" s="10"/>
      <c r="S210" s="1" t="s">
        <v>45</v>
      </c>
      <c r="T210" s="1"/>
      <c r="U210" s="1">
        <v>2030</v>
      </c>
      <c r="V210" s="1">
        <v>1</v>
      </c>
      <c r="W210" s="1">
        <v>1</v>
      </c>
      <c r="X210" s="1" t="s">
        <v>32</v>
      </c>
      <c r="Y210" s="1" t="s">
        <v>32</v>
      </c>
      <c r="Z210" s="1"/>
      <c r="AB210" s="2">
        <v>0</v>
      </c>
      <c r="AF210" s="2" t="s">
        <v>393</v>
      </c>
    </row>
    <row r="211" spans="1:38" s="46" customFormat="1" x14ac:dyDescent="0.35">
      <c r="A211" s="46" t="s">
        <v>392</v>
      </c>
      <c r="B211" s="46" t="s">
        <v>1029</v>
      </c>
      <c r="C211" s="46" t="s">
        <v>394</v>
      </c>
      <c r="I211" s="48" t="s">
        <v>1085</v>
      </c>
      <c r="M211" s="51"/>
      <c r="O211" s="57"/>
      <c r="P211" s="51"/>
      <c r="Q211" s="60"/>
      <c r="V211" s="46">
        <v>1</v>
      </c>
      <c r="W211" s="46">
        <v>1</v>
      </c>
      <c r="AF211" s="46" t="s">
        <v>395</v>
      </c>
    </row>
    <row r="212" spans="1:38" s="46" customFormat="1" ht="17" x14ac:dyDescent="0.35">
      <c r="A212" s="46" t="s">
        <v>392</v>
      </c>
      <c r="B212" s="46" t="s">
        <v>1030</v>
      </c>
      <c r="C212" s="47">
        <v>43618</v>
      </c>
      <c r="I212" s="48" t="s">
        <v>1085</v>
      </c>
      <c r="L212" s="46">
        <v>15</v>
      </c>
      <c r="M212" s="51"/>
      <c r="N212" s="46">
        <v>7</v>
      </c>
      <c r="O212" s="57"/>
      <c r="P212" s="51" t="s">
        <v>396</v>
      </c>
      <c r="Q212" s="60"/>
      <c r="T212" s="46">
        <v>2010</v>
      </c>
      <c r="U212" s="46">
        <v>2035</v>
      </c>
      <c r="V212" s="46">
        <v>1</v>
      </c>
      <c r="W212" s="46">
        <v>1</v>
      </c>
      <c r="X212" s="46" t="s">
        <v>51</v>
      </c>
      <c r="Y212" s="46" t="s">
        <v>51</v>
      </c>
      <c r="AB212" s="46">
        <v>0</v>
      </c>
      <c r="AF212" s="46" t="s">
        <v>397</v>
      </c>
    </row>
    <row r="213" spans="1:38" s="2" customFormat="1" hidden="1" x14ac:dyDescent="0.35">
      <c r="A213" s="2" t="s">
        <v>392</v>
      </c>
      <c r="B213" s="2" t="s">
        <v>1031</v>
      </c>
      <c r="C213" s="26"/>
      <c r="D213" s="26"/>
      <c r="E213" s="26"/>
      <c r="F213" s="26"/>
      <c r="G213" s="26"/>
      <c r="H213" s="10"/>
      <c r="I213" s="10"/>
      <c r="J213" s="10"/>
      <c r="K213" s="1"/>
      <c r="M213" s="10"/>
      <c r="Q213" s="10"/>
      <c r="S213" s="1"/>
      <c r="T213" s="1"/>
      <c r="U213" s="1"/>
      <c r="V213" s="1"/>
      <c r="W213" s="1"/>
      <c r="X213" s="1"/>
      <c r="Y213" s="1"/>
      <c r="Z213" s="1"/>
    </row>
    <row r="214" spans="1:38" s="2" customFormat="1" hidden="1" x14ac:dyDescent="0.35">
      <c r="A214" s="2" t="s">
        <v>398</v>
      </c>
      <c r="B214" s="2" t="s">
        <v>1028</v>
      </c>
      <c r="C214" s="26" t="s">
        <v>399</v>
      </c>
      <c r="D214" s="26"/>
      <c r="E214" s="26"/>
      <c r="F214" s="26"/>
      <c r="G214" s="26"/>
      <c r="H214" s="10"/>
      <c r="I214" s="10"/>
      <c r="J214" s="10"/>
      <c r="K214" s="1"/>
      <c r="M214" s="10"/>
      <c r="Q214" s="10"/>
      <c r="S214" s="1"/>
      <c r="T214" s="1"/>
      <c r="U214" s="1"/>
      <c r="V214" s="1">
        <v>1</v>
      </c>
      <c r="W214" s="1">
        <v>1</v>
      </c>
      <c r="X214" s="1"/>
      <c r="Y214" s="1"/>
      <c r="Z214" s="1"/>
      <c r="AB214" s="2">
        <v>0</v>
      </c>
      <c r="AF214" s="2" t="s">
        <v>400</v>
      </c>
    </row>
    <row r="215" spans="1:38" s="10" customFormat="1" x14ac:dyDescent="0.35">
      <c r="A215" s="10" t="s">
        <v>398</v>
      </c>
      <c r="B215" s="10" t="s">
        <v>1029</v>
      </c>
      <c r="C215" s="10" t="s">
        <v>401</v>
      </c>
      <c r="I215" s="22" t="s">
        <v>1085</v>
      </c>
      <c r="M215" s="1"/>
      <c r="O215" s="56"/>
      <c r="P215" s="1"/>
      <c r="Q215" s="59"/>
    </row>
    <row r="216" spans="1:38" s="10" customFormat="1" x14ac:dyDescent="0.35">
      <c r="A216" s="10" t="s">
        <v>398</v>
      </c>
      <c r="B216" s="10" t="s">
        <v>1030</v>
      </c>
      <c r="C216" s="10" t="s">
        <v>402</v>
      </c>
      <c r="J216" s="10">
        <v>1</v>
      </c>
      <c r="M216" s="1"/>
      <c r="O216" s="56"/>
      <c r="P216" s="1"/>
      <c r="Q216" s="59"/>
      <c r="U216" s="10">
        <v>2030</v>
      </c>
      <c r="V216" s="10">
        <v>1</v>
      </c>
      <c r="W216" s="10">
        <v>1</v>
      </c>
      <c r="AF216" s="10" t="s">
        <v>403</v>
      </c>
      <c r="AG216" s="10" t="s">
        <v>404</v>
      </c>
    </row>
    <row r="217" spans="1:38" s="2" customFormat="1" hidden="1" x14ac:dyDescent="0.35">
      <c r="A217" s="2" t="s">
        <v>398</v>
      </c>
      <c r="B217" s="2" t="s">
        <v>1031</v>
      </c>
      <c r="C217" s="26"/>
      <c r="D217" s="26"/>
      <c r="E217" s="26"/>
      <c r="F217" s="26"/>
      <c r="G217" s="26"/>
      <c r="H217" s="10"/>
      <c r="I217" s="10"/>
      <c r="J217" s="10"/>
      <c r="K217" s="1"/>
      <c r="M217" s="10"/>
      <c r="Q217" s="10"/>
      <c r="S217" s="1"/>
      <c r="T217" s="1"/>
      <c r="U217" s="1"/>
      <c r="V217" s="1"/>
      <c r="W217" s="1"/>
      <c r="X217" s="1"/>
      <c r="Y217" s="1"/>
      <c r="Z217" s="1"/>
    </row>
    <row r="218" spans="1:38" s="2" customFormat="1" hidden="1" x14ac:dyDescent="0.35">
      <c r="A218" s="2" t="s">
        <v>1033</v>
      </c>
      <c r="B218" s="2" t="s">
        <v>1028</v>
      </c>
      <c r="C218" s="26" t="s">
        <v>405</v>
      </c>
      <c r="D218" s="26"/>
      <c r="E218" s="26"/>
      <c r="F218" s="26"/>
      <c r="G218" s="26"/>
      <c r="H218" s="10"/>
      <c r="I218" s="10"/>
      <c r="J218" s="10"/>
      <c r="K218" s="1"/>
      <c r="M218" s="10"/>
      <c r="Q218" s="10"/>
      <c r="S218" s="1"/>
      <c r="T218" s="1"/>
      <c r="U218" s="1"/>
      <c r="V218" s="1">
        <v>1</v>
      </c>
      <c r="W218" s="1">
        <v>1</v>
      </c>
      <c r="X218" s="1"/>
      <c r="Y218" s="1"/>
      <c r="Z218" s="1"/>
      <c r="AB218" s="2">
        <v>0</v>
      </c>
      <c r="AF218" s="2" t="s">
        <v>176</v>
      </c>
    </row>
    <row r="219" spans="1:38" s="10" customFormat="1" ht="17.5" x14ac:dyDescent="0.35">
      <c r="A219" s="37" t="s">
        <v>1033</v>
      </c>
      <c r="B219" s="10" t="s">
        <v>1029</v>
      </c>
      <c r="C219" s="10" t="s">
        <v>406</v>
      </c>
      <c r="I219" s="22" t="s">
        <v>1085</v>
      </c>
      <c r="M219" s="1"/>
      <c r="O219" s="56"/>
      <c r="P219" s="1"/>
      <c r="Q219" s="59"/>
      <c r="T219" s="10">
        <v>2015</v>
      </c>
      <c r="U219" s="10">
        <v>2035</v>
      </c>
      <c r="V219" s="10">
        <v>1</v>
      </c>
      <c r="W219" s="10">
        <v>1</v>
      </c>
      <c r="X219" s="10" t="s">
        <v>51</v>
      </c>
      <c r="Y219" s="10" t="s">
        <v>51</v>
      </c>
      <c r="AB219" s="10">
        <v>0</v>
      </c>
      <c r="AF219" s="10" t="s">
        <v>176</v>
      </c>
    </row>
    <row r="220" spans="1:38" s="10" customFormat="1" ht="17.5" x14ac:dyDescent="0.35">
      <c r="A220" s="37" t="s">
        <v>1033</v>
      </c>
      <c r="B220" s="10" t="s">
        <v>1030</v>
      </c>
      <c r="C220" s="10">
        <v>44652</v>
      </c>
      <c r="J220" s="10">
        <v>1</v>
      </c>
      <c r="M220" s="1"/>
      <c r="O220" s="56"/>
      <c r="P220" s="1"/>
      <c r="Q220" s="59"/>
      <c r="T220" s="10">
        <v>2015</v>
      </c>
      <c r="U220" s="10">
        <v>2035</v>
      </c>
      <c r="V220" s="10">
        <v>1</v>
      </c>
      <c r="W220" s="10">
        <v>1</v>
      </c>
      <c r="X220" s="10" t="s">
        <v>51</v>
      </c>
      <c r="Y220" s="10" t="s">
        <v>51</v>
      </c>
      <c r="AB220" s="10">
        <v>0</v>
      </c>
      <c r="AF220" s="10" t="s">
        <v>407</v>
      </c>
    </row>
    <row r="221" spans="1:38" s="2" customFormat="1" ht="17.5" hidden="1" x14ac:dyDescent="0.35">
      <c r="A221" s="5" t="s">
        <v>1033</v>
      </c>
      <c r="B221" s="2" t="s">
        <v>1031</v>
      </c>
      <c r="C221" s="26"/>
      <c r="D221" s="26"/>
      <c r="E221" s="26"/>
      <c r="F221" s="26"/>
      <c r="G221" s="26"/>
      <c r="H221" s="10"/>
      <c r="I221" s="10"/>
      <c r="J221" s="10"/>
      <c r="K221" s="1"/>
      <c r="M221" s="10"/>
      <c r="Q221" s="10"/>
      <c r="S221" s="1"/>
      <c r="T221" s="1"/>
      <c r="U221" s="1"/>
      <c r="V221" s="1"/>
      <c r="W221" s="1"/>
      <c r="X221" s="1"/>
      <c r="Y221" s="1"/>
      <c r="Z221" s="1"/>
    </row>
    <row r="222" spans="1:38" s="2" customFormat="1" hidden="1" x14ac:dyDescent="0.35">
      <c r="A222" s="2" t="s">
        <v>408</v>
      </c>
      <c r="B222" s="2" t="s">
        <v>1028</v>
      </c>
      <c r="C222" s="26" t="s">
        <v>409</v>
      </c>
      <c r="D222" s="26">
        <v>20</v>
      </c>
      <c r="E222" s="26"/>
      <c r="F222" s="26"/>
      <c r="G222" s="26"/>
      <c r="H222" s="2" t="s">
        <v>1076</v>
      </c>
      <c r="I222" s="10"/>
      <c r="J222" s="10"/>
      <c r="K222" s="1"/>
      <c r="L222" s="2">
        <v>20</v>
      </c>
      <c r="M222" s="10"/>
      <c r="P222" s="2">
        <v>20</v>
      </c>
      <c r="Q222" s="10"/>
      <c r="S222" s="1"/>
      <c r="T222" s="1">
        <v>2010</v>
      </c>
      <c r="U222" s="1" t="s">
        <v>154</v>
      </c>
      <c r="V222" s="1">
        <v>1</v>
      </c>
      <c r="W222" s="1">
        <v>1</v>
      </c>
      <c r="X222" s="1" t="s">
        <v>51</v>
      </c>
      <c r="Y222" s="1" t="s">
        <v>51</v>
      </c>
      <c r="Z222" s="1"/>
      <c r="AB222" s="2">
        <v>0</v>
      </c>
      <c r="AC222" s="2">
        <v>2050</v>
      </c>
      <c r="AD222" s="2">
        <v>50</v>
      </c>
      <c r="AF222" s="2" t="s">
        <v>410</v>
      </c>
      <c r="AL222" s="2" t="s">
        <v>411</v>
      </c>
    </row>
    <row r="223" spans="1:38" s="10" customFormat="1" x14ac:dyDescent="0.35">
      <c r="A223" s="10" t="s">
        <v>408</v>
      </c>
      <c r="B223" s="10" t="s">
        <v>1029</v>
      </c>
      <c r="C223" s="10" t="s">
        <v>412</v>
      </c>
      <c r="D223" s="10">
        <v>20</v>
      </c>
      <c r="E223" s="10" t="s">
        <v>1097</v>
      </c>
      <c r="F223" s="10" t="s">
        <v>1097</v>
      </c>
      <c r="G223" s="10" t="s">
        <v>1117</v>
      </c>
      <c r="H223" s="10" t="s">
        <v>1076</v>
      </c>
      <c r="L223" s="10">
        <v>20</v>
      </c>
      <c r="M223" s="1"/>
      <c r="O223" s="56"/>
      <c r="P223" s="1">
        <v>20</v>
      </c>
      <c r="Q223" s="59"/>
      <c r="T223" s="10">
        <v>2010</v>
      </c>
      <c r="U223" s="10" t="s">
        <v>154</v>
      </c>
      <c r="V223" s="10">
        <v>1</v>
      </c>
      <c r="W223" s="10">
        <v>1</v>
      </c>
      <c r="X223" s="10" t="s">
        <v>51</v>
      </c>
      <c r="Y223" s="10" t="s">
        <v>51</v>
      </c>
      <c r="AB223" s="10">
        <v>0</v>
      </c>
      <c r="AC223" s="10">
        <v>2050</v>
      </c>
      <c r="AD223" s="10">
        <v>50</v>
      </c>
      <c r="AF223" s="10" t="s">
        <v>410</v>
      </c>
      <c r="AL223" s="10" t="s">
        <v>411</v>
      </c>
    </row>
    <row r="224" spans="1:38" s="10" customFormat="1" x14ac:dyDescent="0.35">
      <c r="A224" s="10" t="s">
        <v>408</v>
      </c>
      <c r="B224" s="10" t="s">
        <v>1030</v>
      </c>
      <c r="C224" s="10" t="s">
        <v>413</v>
      </c>
      <c r="D224" s="10" t="s">
        <v>254</v>
      </c>
      <c r="E224" s="10" t="s">
        <v>1097</v>
      </c>
      <c r="F224" s="10" t="s">
        <v>1097</v>
      </c>
      <c r="G224" s="10" t="s">
        <v>48</v>
      </c>
      <c r="H224" s="10" t="s">
        <v>1077</v>
      </c>
      <c r="L224" s="10" t="s">
        <v>254</v>
      </c>
      <c r="M224" s="1"/>
      <c r="O224" s="56"/>
      <c r="P224" s="1" t="s">
        <v>254</v>
      </c>
      <c r="Q224" s="59"/>
      <c r="S224" s="10" t="s">
        <v>45</v>
      </c>
      <c r="U224" s="10" t="s">
        <v>154</v>
      </c>
      <c r="X224" s="10" t="s">
        <v>32</v>
      </c>
      <c r="Y224" s="10" t="s">
        <v>32</v>
      </c>
      <c r="AB224" s="10">
        <v>0</v>
      </c>
      <c r="AC224" s="10">
        <v>2050</v>
      </c>
      <c r="AD224" s="10">
        <v>50</v>
      </c>
      <c r="AF224" s="10" t="s">
        <v>135</v>
      </c>
    </row>
    <row r="225" spans="1:38" s="2" customFormat="1" hidden="1" x14ac:dyDescent="0.35">
      <c r="A225" s="2" t="s">
        <v>408</v>
      </c>
      <c r="B225" s="2" t="s">
        <v>1031</v>
      </c>
      <c r="C225" s="26"/>
      <c r="D225" s="26"/>
      <c r="E225" s="26"/>
      <c r="F225" s="26"/>
      <c r="G225" s="26"/>
      <c r="H225" s="10"/>
      <c r="I225" s="10"/>
      <c r="J225" s="10"/>
      <c r="K225" s="1"/>
      <c r="M225" s="10"/>
      <c r="Q225" s="10"/>
      <c r="S225" s="1"/>
      <c r="T225" s="1"/>
      <c r="U225" s="1"/>
      <c r="V225" s="1"/>
      <c r="W225" s="1"/>
      <c r="X225" s="1"/>
      <c r="Y225" s="1"/>
      <c r="Z225" s="1"/>
    </row>
    <row r="226" spans="1:38" s="2" customFormat="1" hidden="1" x14ac:dyDescent="0.35">
      <c r="A226" s="2" t="s">
        <v>414</v>
      </c>
      <c r="B226" s="2" t="s">
        <v>1028</v>
      </c>
      <c r="C226" s="26" t="s">
        <v>36</v>
      </c>
      <c r="D226" s="26">
        <v>39.200000000000003</v>
      </c>
      <c r="E226" s="26"/>
      <c r="F226" s="26"/>
      <c r="G226" s="26"/>
      <c r="H226" s="2" t="s">
        <v>1078</v>
      </c>
      <c r="I226" s="10"/>
      <c r="J226" s="10"/>
      <c r="K226" s="1"/>
      <c r="L226" s="2">
        <v>39.200000000000003</v>
      </c>
      <c r="M226" s="10"/>
      <c r="N226" s="2">
        <v>39.200000000000003</v>
      </c>
      <c r="Q226" s="10"/>
      <c r="R226" s="2" t="s">
        <v>415</v>
      </c>
      <c r="S226" s="1"/>
      <c r="T226" s="1">
        <v>2010</v>
      </c>
      <c r="U226" s="1" t="s">
        <v>154</v>
      </c>
      <c r="V226" s="1">
        <v>1</v>
      </c>
      <c r="W226" s="1">
        <v>1</v>
      </c>
      <c r="X226" s="1" t="s">
        <v>51</v>
      </c>
      <c r="Y226" s="1" t="s">
        <v>51</v>
      </c>
      <c r="Z226" s="1"/>
      <c r="AA226" s="2">
        <v>2025</v>
      </c>
      <c r="AB226" s="2">
        <v>0</v>
      </c>
      <c r="AF226" s="2" t="s">
        <v>416</v>
      </c>
    </row>
    <row r="227" spans="1:38" s="1" customFormat="1" ht="17.5" x14ac:dyDescent="0.35">
      <c r="A227" s="1" t="s">
        <v>414</v>
      </c>
      <c r="B227" s="1" t="s">
        <v>1029</v>
      </c>
      <c r="C227" s="1" t="s">
        <v>417</v>
      </c>
      <c r="D227" s="1">
        <v>38.5</v>
      </c>
      <c r="E227" s="1" t="s">
        <v>1100</v>
      </c>
      <c r="F227" s="1" t="s">
        <v>1101</v>
      </c>
      <c r="G227" s="52" t="s">
        <v>129</v>
      </c>
      <c r="H227" t="s">
        <v>1193</v>
      </c>
      <c r="L227" s="1">
        <v>38.5</v>
      </c>
      <c r="N227" s="1">
        <v>12</v>
      </c>
      <c r="O227" s="56"/>
      <c r="P227" s="1">
        <v>26.5</v>
      </c>
      <c r="Q227" s="59"/>
      <c r="S227" s="10" t="s">
        <v>45</v>
      </c>
      <c r="U227" s="1" t="s">
        <v>154</v>
      </c>
      <c r="V227" s="1">
        <v>1</v>
      </c>
      <c r="W227" s="1">
        <v>1</v>
      </c>
      <c r="X227" s="10" t="s">
        <v>32</v>
      </c>
      <c r="Y227" s="10" t="s">
        <v>32</v>
      </c>
      <c r="AB227" s="1">
        <v>0</v>
      </c>
      <c r="AF227" s="1" t="s">
        <v>418</v>
      </c>
    </row>
    <row r="228" spans="1:38" s="10" customFormat="1" x14ac:dyDescent="0.35">
      <c r="A228" s="10" t="s">
        <v>414</v>
      </c>
      <c r="B228" s="10" t="s">
        <v>1030</v>
      </c>
      <c r="I228" s="10" t="s">
        <v>1082</v>
      </c>
      <c r="M228" s="1"/>
      <c r="O228" s="56"/>
      <c r="P228" s="1"/>
      <c r="Q228" s="59"/>
    </row>
    <row r="229" spans="1:38" s="2" customFormat="1" ht="17" hidden="1" x14ac:dyDescent="0.35">
      <c r="A229" s="2" t="s">
        <v>414</v>
      </c>
      <c r="B229" s="2" t="s">
        <v>1031</v>
      </c>
      <c r="C229" s="30" t="s">
        <v>1043</v>
      </c>
      <c r="D229" s="26">
        <v>24.4</v>
      </c>
      <c r="E229" s="26"/>
      <c r="F229" s="26"/>
      <c r="G229" s="26"/>
      <c r="H229" s="10" t="s">
        <v>1077</v>
      </c>
      <c r="I229" s="14"/>
      <c r="J229" s="14"/>
      <c r="K229" s="18"/>
      <c r="L229" s="2">
        <v>24.4</v>
      </c>
      <c r="M229" s="10"/>
      <c r="N229" s="2">
        <v>8.6</v>
      </c>
      <c r="P229" s="2">
        <v>15.8</v>
      </c>
      <c r="Q229" s="10"/>
      <c r="S229" s="1" t="s">
        <v>30</v>
      </c>
      <c r="T229" s="1"/>
      <c r="U229" s="1">
        <v>2030</v>
      </c>
      <c r="V229" s="1">
        <v>1</v>
      </c>
      <c r="W229" s="1">
        <v>1</v>
      </c>
      <c r="X229" s="1" t="s">
        <v>32</v>
      </c>
      <c r="Y229" s="1" t="s">
        <v>32</v>
      </c>
      <c r="Z229" s="1"/>
      <c r="AB229" s="2">
        <v>0</v>
      </c>
    </row>
    <row r="230" spans="1:38" s="2" customFormat="1" hidden="1" x14ac:dyDescent="0.35">
      <c r="A230" s="2" t="s">
        <v>419</v>
      </c>
      <c r="B230" s="2" t="s">
        <v>1028</v>
      </c>
      <c r="C230" s="26"/>
      <c r="D230" s="26"/>
      <c r="E230" s="26"/>
      <c r="F230" s="26"/>
      <c r="G230" s="26"/>
      <c r="H230" s="10"/>
      <c r="I230" s="10"/>
      <c r="J230" s="10"/>
      <c r="K230" s="1"/>
      <c r="M230" s="10"/>
      <c r="Q230" s="10"/>
      <c r="S230" s="1"/>
      <c r="T230" s="1"/>
      <c r="U230" s="1"/>
      <c r="V230" s="1"/>
      <c r="W230" s="1"/>
      <c r="X230" s="1"/>
      <c r="Y230" s="1"/>
      <c r="Z230" s="1"/>
    </row>
    <row r="231" spans="1:38" s="10" customFormat="1" ht="17" x14ac:dyDescent="0.35">
      <c r="A231" s="10" t="s">
        <v>419</v>
      </c>
      <c r="B231" s="10" t="s">
        <v>1029</v>
      </c>
      <c r="C231" s="33">
        <v>42471</v>
      </c>
      <c r="D231" s="10">
        <v>40</v>
      </c>
      <c r="E231" s="10" t="s">
        <v>1091</v>
      </c>
      <c r="F231" s="10" t="s">
        <v>1091</v>
      </c>
      <c r="G231" s="10" t="s">
        <v>53</v>
      </c>
      <c r="H231" s="10" t="s">
        <v>1078</v>
      </c>
      <c r="L231" s="10">
        <v>40</v>
      </c>
      <c r="M231" s="1"/>
      <c r="N231" s="10">
        <v>40</v>
      </c>
      <c r="O231" s="56"/>
      <c r="P231" s="1"/>
      <c r="Q231" s="59"/>
      <c r="T231" s="10">
        <v>1990</v>
      </c>
      <c r="U231" s="10">
        <v>2030</v>
      </c>
      <c r="V231" s="10">
        <v>0</v>
      </c>
      <c r="W231" s="10">
        <v>0</v>
      </c>
      <c r="X231" s="10" t="s">
        <v>51</v>
      </c>
      <c r="Y231" s="10" t="s">
        <v>51</v>
      </c>
      <c r="AB231" s="10">
        <v>1</v>
      </c>
      <c r="AC231" s="10">
        <v>2050</v>
      </c>
      <c r="AF231" s="10" t="s">
        <v>215</v>
      </c>
      <c r="AL231" s="10" t="s">
        <v>101</v>
      </c>
    </row>
    <row r="232" spans="1:38" s="10" customFormat="1" x14ac:dyDescent="0.35">
      <c r="A232" s="10" t="s">
        <v>419</v>
      </c>
      <c r="B232" s="10" t="s">
        <v>1030</v>
      </c>
      <c r="C232" s="10" t="s">
        <v>102</v>
      </c>
      <c r="D232" s="34" t="s">
        <v>342</v>
      </c>
      <c r="E232" s="10" t="s">
        <v>1091</v>
      </c>
      <c r="F232" s="10" t="s">
        <v>1091</v>
      </c>
      <c r="G232" s="10" t="s">
        <v>53</v>
      </c>
      <c r="H232" s="10" t="s">
        <v>1078</v>
      </c>
      <c r="L232" s="10" t="s">
        <v>342</v>
      </c>
      <c r="M232" s="1"/>
      <c r="N232" s="10" t="s">
        <v>342</v>
      </c>
      <c r="O232" s="56"/>
      <c r="P232" s="1"/>
      <c r="Q232" s="59"/>
      <c r="T232" s="10">
        <v>1990</v>
      </c>
      <c r="U232" s="10">
        <v>2030</v>
      </c>
      <c r="V232" s="10">
        <v>0</v>
      </c>
      <c r="W232" s="10">
        <v>0</v>
      </c>
      <c r="X232" s="10" t="s">
        <v>51</v>
      </c>
      <c r="Y232" s="10" t="s">
        <v>51</v>
      </c>
      <c r="AB232" s="10">
        <v>1</v>
      </c>
      <c r="AC232" s="10">
        <v>2050</v>
      </c>
      <c r="AF232" s="10" t="s">
        <v>215</v>
      </c>
      <c r="AL232" s="10" t="s">
        <v>343</v>
      </c>
    </row>
    <row r="233" spans="1:38" s="2" customFormat="1" hidden="1" x14ac:dyDescent="0.35">
      <c r="A233" s="2" t="s">
        <v>419</v>
      </c>
      <c r="B233" s="2" t="s">
        <v>1031</v>
      </c>
      <c r="C233" s="26"/>
      <c r="D233" s="26"/>
      <c r="E233" s="26"/>
      <c r="F233" s="26"/>
      <c r="G233" s="26"/>
      <c r="H233" s="10"/>
      <c r="I233" s="10"/>
      <c r="J233" s="10"/>
      <c r="K233" s="1"/>
      <c r="M233" s="10"/>
      <c r="Q233" s="10"/>
      <c r="S233" s="1"/>
      <c r="T233" s="1"/>
      <c r="U233" s="1"/>
      <c r="V233" s="1"/>
      <c r="W233" s="1"/>
      <c r="X233" s="1"/>
      <c r="Y233" s="1"/>
      <c r="Z233" s="1"/>
    </row>
    <row r="234" spans="1:38" s="2" customFormat="1" hidden="1" x14ac:dyDescent="0.35">
      <c r="A234" s="2" t="s">
        <v>420</v>
      </c>
      <c r="B234" s="2" t="s">
        <v>1028</v>
      </c>
      <c r="C234" s="26" t="s">
        <v>83</v>
      </c>
      <c r="D234" s="26"/>
      <c r="E234" s="26"/>
      <c r="F234" s="26"/>
      <c r="G234" s="26"/>
      <c r="H234" s="10"/>
      <c r="I234" s="10"/>
      <c r="J234" s="10"/>
      <c r="K234" s="1"/>
      <c r="M234" s="10"/>
      <c r="Q234" s="10"/>
      <c r="S234" s="1"/>
      <c r="T234" s="1"/>
      <c r="U234" s="1"/>
      <c r="V234" s="1"/>
      <c r="W234" s="1"/>
      <c r="X234" s="1"/>
      <c r="Y234" s="1"/>
      <c r="Z234" s="1"/>
    </row>
    <row r="235" spans="1:38" s="10" customFormat="1" x14ac:dyDescent="0.35">
      <c r="A235" s="10" t="s">
        <v>420</v>
      </c>
      <c r="B235" s="10" t="s">
        <v>1029</v>
      </c>
      <c r="C235" s="10" t="s">
        <v>40</v>
      </c>
      <c r="G235" s="10" t="s">
        <v>129</v>
      </c>
      <c r="I235" s="22" t="s">
        <v>1085</v>
      </c>
      <c r="M235" s="1"/>
      <c r="O235" s="56"/>
      <c r="P235" s="1"/>
      <c r="Q235" s="59"/>
      <c r="S235" s="10" t="s">
        <v>45</v>
      </c>
      <c r="V235" s="10">
        <v>1</v>
      </c>
      <c r="W235" s="10">
        <v>1</v>
      </c>
      <c r="AB235" s="10">
        <v>0</v>
      </c>
      <c r="AF235" s="10" t="s">
        <v>421</v>
      </c>
      <c r="AL235" s="10" t="s">
        <v>422</v>
      </c>
    </row>
    <row r="236" spans="1:38" s="10" customFormat="1" ht="17" x14ac:dyDescent="0.35">
      <c r="A236" s="10" t="s">
        <v>420</v>
      </c>
      <c r="B236" s="10" t="s">
        <v>1030</v>
      </c>
      <c r="C236" s="33">
        <v>44540</v>
      </c>
      <c r="D236" s="10">
        <v>14</v>
      </c>
      <c r="E236" s="10" t="s">
        <v>1096</v>
      </c>
      <c r="F236" s="10" t="s">
        <v>1099</v>
      </c>
      <c r="G236" s="10" t="s">
        <v>129</v>
      </c>
      <c r="H236" s="10" t="s">
        <v>1077</v>
      </c>
      <c r="L236" s="10">
        <v>14</v>
      </c>
      <c r="M236" s="1"/>
      <c r="N236" s="10">
        <v>5</v>
      </c>
      <c r="O236" s="56"/>
      <c r="P236" s="1">
        <v>9</v>
      </c>
      <c r="Q236" s="59"/>
      <c r="S236" s="10" t="s">
        <v>30</v>
      </c>
      <c r="V236" s="10">
        <v>1</v>
      </c>
      <c r="W236" s="10">
        <v>1</v>
      </c>
      <c r="X236" s="10" t="s">
        <v>32</v>
      </c>
      <c r="Y236" s="10" t="s">
        <v>32</v>
      </c>
      <c r="AB236" s="10">
        <v>0</v>
      </c>
      <c r="AF236" s="10" t="s">
        <v>421</v>
      </c>
    </row>
    <row r="237" spans="1:38" s="2" customFormat="1" hidden="1" x14ac:dyDescent="0.35">
      <c r="A237" s="2" t="s">
        <v>420</v>
      </c>
      <c r="B237" s="2" t="s">
        <v>1031</v>
      </c>
      <c r="C237" s="26"/>
      <c r="D237" s="26">
        <v>69</v>
      </c>
      <c r="E237" s="26"/>
      <c r="F237" s="26"/>
      <c r="G237" s="26"/>
      <c r="H237" s="10" t="s">
        <v>1077</v>
      </c>
      <c r="I237" s="10"/>
      <c r="J237" s="10"/>
      <c r="K237" s="1"/>
      <c r="L237" s="2">
        <v>69</v>
      </c>
      <c r="M237" s="10"/>
      <c r="N237" s="2">
        <v>31</v>
      </c>
      <c r="P237" s="2">
        <v>38</v>
      </c>
      <c r="Q237" s="10"/>
      <c r="S237" s="1" t="s">
        <v>30</v>
      </c>
      <c r="T237" s="1"/>
      <c r="U237" s="1"/>
      <c r="V237" s="1">
        <v>1</v>
      </c>
      <c r="W237" s="1">
        <v>1</v>
      </c>
      <c r="X237" s="1" t="s">
        <v>32</v>
      </c>
      <c r="Y237" s="1" t="s">
        <v>32</v>
      </c>
      <c r="Z237" s="1"/>
      <c r="AB237" s="2">
        <v>0</v>
      </c>
    </row>
    <row r="238" spans="1:38" s="2" customFormat="1" hidden="1" x14ac:dyDescent="0.35">
      <c r="A238" s="2" t="s">
        <v>423</v>
      </c>
      <c r="B238" s="2" t="s">
        <v>1028</v>
      </c>
      <c r="C238" s="26">
        <v>42283</v>
      </c>
      <c r="D238" s="26">
        <v>64</v>
      </c>
      <c r="E238" s="26"/>
      <c r="F238" s="26"/>
      <c r="G238" s="26"/>
      <c r="H238" s="10" t="s">
        <v>1077</v>
      </c>
      <c r="I238" s="10"/>
      <c r="J238" s="10"/>
      <c r="K238" s="1"/>
      <c r="L238" s="2">
        <v>64</v>
      </c>
      <c r="M238" s="10"/>
      <c r="N238" s="2">
        <v>64</v>
      </c>
      <c r="P238" s="2">
        <v>64</v>
      </c>
      <c r="Q238" s="10"/>
      <c r="S238" s="1" t="s">
        <v>45</v>
      </c>
      <c r="T238" s="1"/>
      <c r="U238" s="1">
        <v>2030</v>
      </c>
      <c r="V238" s="1">
        <v>1</v>
      </c>
      <c r="W238" s="1">
        <v>1</v>
      </c>
      <c r="X238" s="1" t="s">
        <v>32</v>
      </c>
      <c r="Y238" s="1" t="s">
        <v>32</v>
      </c>
      <c r="Z238" s="1"/>
      <c r="AB238" s="2">
        <v>0</v>
      </c>
      <c r="AF238" s="2" t="s">
        <v>424</v>
      </c>
    </row>
    <row r="239" spans="1:38" s="10" customFormat="1" ht="17.5" x14ac:dyDescent="0.35">
      <c r="A239" s="10" t="s">
        <v>423</v>
      </c>
      <c r="B239" s="10" t="s">
        <v>1029</v>
      </c>
      <c r="C239" s="33">
        <v>42981</v>
      </c>
      <c r="E239" s="10" t="s">
        <v>1104</v>
      </c>
      <c r="G239" s="10" t="s">
        <v>1116</v>
      </c>
      <c r="H239" s="12" t="s">
        <v>1130</v>
      </c>
      <c r="M239" s="1">
        <v>145000</v>
      </c>
      <c r="N239" s="10">
        <v>64</v>
      </c>
      <c r="O239" s="56"/>
      <c r="P239" s="1">
        <v>64</v>
      </c>
      <c r="Q239" s="59"/>
      <c r="S239" s="10" t="s">
        <v>45</v>
      </c>
      <c r="U239" s="10">
        <v>2030</v>
      </c>
      <c r="V239" s="10">
        <v>1</v>
      </c>
      <c r="W239" s="10">
        <v>1</v>
      </c>
      <c r="X239" s="10" t="s">
        <v>32</v>
      </c>
      <c r="Y239" s="10" t="s">
        <v>32</v>
      </c>
      <c r="AB239" s="10">
        <v>0</v>
      </c>
      <c r="AF239" s="10" t="s">
        <v>424</v>
      </c>
    </row>
    <row r="240" spans="1:38" s="10" customFormat="1" x14ac:dyDescent="0.35">
      <c r="A240" s="10" t="s">
        <v>423</v>
      </c>
      <c r="B240" s="10" t="s">
        <v>1030</v>
      </c>
      <c r="C240" s="10" t="s">
        <v>425</v>
      </c>
      <c r="D240" s="10" t="s">
        <v>426</v>
      </c>
      <c r="E240" s="10" t="s">
        <v>1100</v>
      </c>
      <c r="F240" s="10" t="s">
        <v>1101</v>
      </c>
      <c r="G240" s="10" t="s">
        <v>53</v>
      </c>
      <c r="H240" s="10" t="s">
        <v>1077</v>
      </c>
      <c r="L240" s="10" t="s">
        <v>426</v>
      </c>
      <c r="M240" s="1"/>
      <c r="N240" s="10">
        <v>14</v>
      </c>
      <c r="O240" s="56"/>
      <c r="P240" s="1" t="s">
        <v>427</v>
      </c>
      <c r="Q240" s="59"/>
      <c r="S240" s="10" t="s">
        <v>45</v>
      </c>
      <c r="U240" s="10">
        <v>2030</v>
      </c>
      <c r="V240" s="10">
        <v>1</v>
      </c>
      <c r="W240" s="10">
        <v>1</v>
      </c>
      <c r="X240" s="10" t="s">
        <v>32</v>
      </c>
      <c r="Y240" s="10" t="s">
        <v>32</v>
      </c>
      <c r="AB240" s="10">
        <v>0</v>
      </c>
      <c r="AF240" s="10" t="s">
        <v>428</v>
      </c>
      <c r="AI240" s="10" t="s">
        <v>429</v>
      </c>
      <c r="AJ240" s="10" t="s">
        <v>430</v>
      </c>
    </row>
    <row r="241" spans="1:38" s="2" customFormat="1" ht="17" hidden="1" x14ac:dyDescent="0.35">
      <c r="A241" s="2" t="s">
        <v>423</v>
      </c>
      <c r="B241" s="2" t="s">
        <v>1031</v>
      </c>
      <c r="C241" s="30" t="s">
        <v>1044</v>
      </c>
      <c r="D241" s="26">
        <v>70.3</v>
      </c>
      <c r="E241" s="26"/>
      <c r="F241" s="26"/>
      <c r="G241" s="26"/>
      <c r="H241" s="10"/>
      <c r="I241" s="14"/>
      <c r="J241" s="14"/>
      <c r="K241" s="18"/>
      <c r="L241" s="2">
        <v>70.3</v>
      </c>
      <c r="M241" s="10"/>
      <c r="Q241" s="10"/>
      <c r="S241" s="1" t="s">
        <v>30</v>
      </c>
      <c r="T241" s="1"/>
      <c r="U241" s="1">
        <v>2035</v>
      </c>
      <c r="V241" s="1">
        <v>1</v>
      </c>
      <c r="W241" s="1">
        <v>1</v>
      </c>
      <c r="X241" s="1" t="s">
        <v>32</v>
      </c>
      <c r="Y241" s="1" t="s">
        <v>32</v>
      </c>
      <c r="Z241" s="1"/>
      <c r="AB241" s="2">
        <v>0</v>
      </c>
    </row>
    <row r="242" spans="1:38" s="2" customFormat="1" hidden="1" x14ac:dyDescent="0.35">
      <c r="A242" s="2" t="s">
        <v>431</v>
      </c>
      <c r="B242" s="2" t="s">
        <v>1028</v>
      </c>
      <c r="C242" s="26">
        <v>42158</v>
      </c>
      <c r="D242" s="26">
        <v>40</v>
      </c>
      <c r="E242" s="26"/>
      <c r="F242" s="26"/>
      <c r="G242" s="26" t="s">
        <v>53</v>
      </c>
      <c r="H242" s="10"/>
      <c r="I242" s="10"/>
      <c r="J242" s="10"/>
      <c r="K242" s="1"/>
      <c r="L242" s="2">
        <v>40</v>
      </c>
      <c r="M242" s="10"/>
      <c r="N242" s="2">
        <v>40</v>
      </c>
      <c r="Q242" s="10"/>
      <c r="S242" s="1"/>
      <c r="T242" s="1">
        <v>1990</v>
      </c>
      <c r="U242" s="1">
        <v>2030</v>
      </c>
      <c r="V242" s="1">
        <v>0</v>
      </c>
      <c r="W242" s="1">
        <v>0</v>
      </c>
      <c r="X242" s="1" t="s">
        <v>51</v>
      </c>
      <c r="Y242" s="1" t="s">
        <v>51</v>
      </c>
      <c r="Z242" s="1"/>
      <c r="AB242" s="2">
        <v>1</v>
      </c>
      <c r="AC242" s="2">
        <v>2050</v>
      </c>
      <c r="AF242" s="2" t="s">
        <v>215</v>
      </c>
      <c r="AL242" s="2" t="s">
        <v>101</v>
      </c>
    </row>
    <row r="243" spans="1:38" s="10" customFormat="1" x14ac:dyDescent="0.35">
      <c r="A243" s="10" t="s">
        <v>431</v>
      </c>
      <c r="B243" s="10" t="s">
        <v>1029</v>
      </c>
      <c r="C243" s="10">
        <v>42500</v>
      </c>
      <c r="D243" s="10">
        <v>40</v>
      </c>
      <c r="G243" s="10" t="s">
        <v>53</v>
      </c>
      <c r="L243" s="10">
        <v>40</v>
      </c>
      <c r="M243" s="1"/>
      <c r="N243" s="10">
        <v>40</v>
      </c>
      <c r="O243" s="56"/>
      <c r="P243" s="1"/>
      <c r="Q243" s="59"/>
      <c r="T243" s="10">
        <v>1990</v>
      </c>
      <c r="U243" s="10">
        <v>2030</v>
      </c>
      <c r="V243" s="10">
        <v>0</v>
      </c>
      <c r="W243" s="10">
        <v>0</v>
      </c>
      <c r="X243" s="10" t="s">
        <v>51</v>
      </c>
      <c r="Y243" s="10" t="s">
        <v>51</v>
      </c>
      <c r="AB243" s="10">
        <v>1</v>
      </c>
      <c r="AC243" s="10">
        <v>2050</v>
      </c>
      <c r="AF243" s="10" t="s">
        <v>215</v>
      </c>
      <c r="AL243" s="10" t="s">
        <v>101</v>
      </c>
    </row>
    <row r="244" spans="1:38" s="10" customFormat="1" x14ac:dyDescent="0.35">
      <c r="A244" s="10" t="s">
        <v>431</v>
      </c>
      <c r="B244" s="10" t="s">
        <v>1030</v>
      </c>
      <c r="C244" s="10" t="s">
        <v>102</v>
      </c>
      <c r="D244" s="10" t="s">
        <v>342</v>
      </c>
      <c r="G244" s="10" t="s">
        <v>53</v>
      </c>
      <c r="L244" s="10" t="s">
        <v>342</v>
      </c>
      <c r="M244" s="1"/>
      <c r="N244" s="10" t="s">
        <v>342</v>
      </c>
      <c r="O244" s="56"/>
      <c r="P244" s="1"/>
      <c r="Q244" s="59"/>
      <c r="T244" s="10">
        <v>1990</v>
      </c>
      <c r="U244" s="10">
        <v>2030</v>
      </c>
      <c r="V244" s="10">
        <v>0</v>
      </c>
      <c r="W244" s="10">
        <v>0</v>
      </c>
      <c r="X244" s="10" t="s">
        <v>51</v>
      </c>
      <c r="Y244" s="10" t="s">
        <v>51</v>
      </c>
      <c r="AB244" s="10">
        <v>1</v>
      </c>
      <c r="AC244" s="10">
        <v>2050</v>
      </c>
      <c r="AF244" s="10" t="s">
        <v>215</v>
      </c>
      <c r="AL244" s="10" t="s">
        <v>343</v>
      </c>
    </row>
    <row r="245" spans="1:38" s="2" customFormat="1" hidden="1" x14ac:dyDescent="0.35">
      <c r="A245" s="2" t="s">
        <v>431</v>
      </c>
      <c r="B245" s="2" t="s">
        <v>1031</v>
      </c>
      <c r="C245" s="26"/>
      <c r="D245" s="26"/>
      <c r="E245" s="26"/>
      <c r="F245" s="26"/>
      <c r="G245" s="26"/>
      <c r="H245" s="10"/>
      <c r="I245" s="10"/>
      <c r="J245" s="10"/>
      <c r="K245" s="1"/>
      <c r="M245" s="10"/>
      <c r="Q245" s="10"/>
      <c r="S245" s="1"/>
      <c r="T245" s="1"/>
      <c r="U245" s="1"/>
      <c r="V245" s="1"/>
      <c r="W245" s="1"/>
      <c r="X245" s="1"/>
      <c r="Y245" s="1"/>
      <c r="Z245" s="1"/>
    </row>
    <row r="246" spans="1:38" s="2" customFormat="1" hidden="1" x14ac:dyDescent="0.35">
      <c r="A246" s="2" t="s">
        <v>432</v>
      </c>
      <c r="B246" s="2" t="s">
        <v>1028</v>
      </c>
      <c r="C246" s="26">
        <v>42135</v>
      </c>
      <c r="D246" s="26">
        <v>30</v>
      </c>
      <c r="E246" s="26"/>
      <c r="F246" s="26"/>
      <c r="G246" s="26"/>
      <c r="H246" s="10" t="s">
        <v>1077</v>
      </c>
      <c r="I246" s="10"/>
      <c r="J246" s="10"/>
      <c r="K246" s="1"/>
      <c r="L246" s="2">
        <v>30</v>
      </c>
      <c r="M246" s="10"/>
      <c r="N246" s="2">
        <v>10</v>
      </c>
      <c r="P246" s="2">
        <v>20</v>
      </c>
      <c r="Q246" s="10"/>
      <c r="S246" s="1" t="s">
        <v>45</v>
      </c>
      <c r="T246" s="1"/>
      <c r="U246" s="1">
        <v>2030</v>
      </c>
      <c r="V246" s="1">
        <v>1</v>
      </c>
      <c r="W246" s="1">
        <v>1</v>
      </c>
      <c r="X246" s="1" t="s">
        <v>51</v>
      </c>
      <c r="Y246" s="1" t="s">
        <v>51</v>
      </c>
      <c r="Z246" s="1"/>
      <c r="AB246" s="2">
        <v>0</v>
      </c>
      <c r="AF246" s="2" t="s">
        <v>393</v>
      </c>
      <c r="AL246" s="2" t="s">
        <v>433</v>
      </c>
    </row>
    <row r="247" spans="1:38" s="10" customFormat="1" ht="17.5" x14ac:dyDescent="0.35">
      <c r="A247" s="10" t="s">
        <v>432</v>
      </c>
      <c r="B247" s="10" t="s">
        <v>1029</v>
      </c>
      <c r="C247" s="10" t="s">
        <v>143</v>
      </c>
      <c r="D247" s="10">
        <v>30</v>
      </c>
      <c r="E247" s="10" t="s">
        <v>1114</v>
      </c>
      <c r="G247" s="12" t="s">
        <v>129</v>
      </c>
      <c r="H247" s="10" t="s">
        <v>1077</v>
      </c>
      <c r="L247" s="10">
        <v>30</v>
      </c>
      <c r="M247" s="1"/>
      <c r="N247" s="10">
        <v>10</v>
      </c>
      <c r="O247" s="56"/>
      <c r="P247" s="1">
        <v>20</v>
      </c>
      <c r="Q247" s="59"/>
      <c r="S247" s="10" t="s">
        <v>45</v>
      </c>
      <c r="U247" s="10">
        <v>2030</v>
      </c>
      <c r="V247" s="10">
        <v>1</v>
      </c>
      <c r="W247" s="10">
        <v>1</v>
      </c>
      <c r="X247" s="10" t="s">
        <v>32</v>
      </c>
      <c r="Y247" s="10" t="s">
        <v>32</v>
      </c>
      <c r="AB247" s="10">
        <v>0</v>
      </c>
      <c r="AF247" s="10" t="s">
        <v>393</v>
      </c>
      <c r="AL247" s="10" t="s">
        <v>433</v>
      </c>
    </row>
    <row r="248" spans="1:38" s="10" customFormat="1" x14ac:dyDescent="0.35">
      <c r="A248" s="10" t="s">
        <v>432</v>
      </c>
      <c r="B248" s="10" t="s">
        <v>1030</v>
      </c>
      <c r="C248" s="10" t="s">
        <v>210</v>
      </c>
      <c r="D248" s="10">
        <v>30</v>
      </c>
      <c r="E248" s="10" t="s">
        <v>1100</v>
      </c>
      <c r="F248" s="10" t="s">
        <v>1131</v>
      </c>
      <c r="G248" s="10" t="s">
        <v>53</v>
      </c>
      <c r="H248" s="10" t="s">
        <v>1077</v>
      </c>
      <c r="L248" s="10">
        <v>30</v>
      </c>
      <c r="M248" s="1"/>
      <c r="N248" s="10">
        <v>10</v>
      </c>
      <c r="O248" s="56"/>
      <c r="P248" s="1">
        <v>20</v>
      </c>
      <c r="Q248" s="59"/>
      <c r="S248" s="10" t="s">
        <v>45</v>
      </c>
      <c r="U248" s="10">
        <v>2030</v>
      </c>
      <c r="V248" s="10">
        <v>1</v>
      </c>
      <c r="W248" s="10">
        <v>1</v>
      </c>
      <c r="X248" s="10" t="s">
        <v>32</v>
      </c>
      <c r="Y248" s="10" t="s">
        <v>32</v>
      </c>
      <c r="AB248" s="10">
        <v>0</v>
      </c>
      <c r="AF248" s="10" t="s">
        <v>434</v>
      </c>
    </row>
    <row r="249" spans="1:38" s="2" customFormat="1" ht="17" hidden="1" x14ac:dyDescent="0.35">
      <c r="A249" s="2" t="s">
        <v>432</v>
      </c>
      <c r="B249" s="2" t="s">
        <v>1031</v>
      </c>
      <c r="C249" s="31">
        <v>45819</v>
      </c>
      <c r="D249" s="26">
        <v>36</v>
      </c>
      <c r="E249" s="26"/>
      <c r="F249" s="26"/>
      <c r="G249" s="26"/>
      <c r="H249" s="10" t="s">
        <v>1077</v>
      </c>
      <c r="I249" s="23"/>
      <c r="J249" s="23"/>
      <c r="K249" s="19"/>
      <c r="L249" s="2">
        <v>36</v>
      </c>
      <c r="M249" s="10"/>
      <c r="N249" s="2">
        <v>12</v>
      </c>
      <c r="P249" s="2">
        <v>24</v>
      </c>
      <c r="Q249" s="10"/>
      <c r="S249" s="1" t="s">
        <v>30</v>
      </c>
      <c r="T249" s="1"/>
      <c r="U249" s="1">
        <v>2035</v>
      </c>
      <c r="V249" s="1">
        <v>1</v>
      </c>
      <c r="W249" s="1">
        <v>1</v>
      </c>
      <c r="X249" s="1" t="s">
        <v>32</v>
      </c>
      <c r="Y249" s="1" t="s">
        <v>32</v>
      </c>
      <c r="Z249" s="1"/>
      <c r="AB249" s="2">
        <v>0</v>
      </c>
    </row>
    <row r="250" spans="1:38" s="2" customFormat="1" hidden="1" x14ac:dyDescent="0.35">
      <c r="A250" s="2" t="s">
        <v>435</v>
      </c>
      <c r="B250" s="2" t="s">
        <v>1028</v>
      </c>
      <c r="C250" s="26"/>
      <c r="D250" s="26"/>
      <c r="E250" s="26"/>
      <c r="F250" s="26"/>
      <c r="G250" s="26"/>
      <c r="H250" s="10"/>
      <c r="I250" s="10"/>
      <c r="J250" s="10"/>
      <c r="K250" s="1"/>
      <c r="M250" s="10"/>
      <c r="Q250" s="10"/>
      <c r="S250" s="1"/>
      <c r="T250" s="1"/>
      <c r="U250" s="1"/>
      <c r="V250" s="1"/>
      <c r="W250" s="1"/>
      <c r="X250" s="1"/>
      <c r="Y250" s="1"/>
      <c r="Z250" s="1"/>
    </row>
    <row r="251" spans="1:38" s="10" customFormat="1" x14ac:dyDescent="0.35">
      <c r="A251" s="10" t="s">
        <v>435</v>
      </c>
      <c r="B251" s="10" t="s">
        <v>1029</v>
      </c>
      <c r="C251" s="10" t="s">
        <v>436</v>
      </c>
      <c r="D251" s="10">
        <v>40</v>
      </c>
      <c r="E251" s="10" t="s">
        <v>1091</v>
      </c>
      <c r="F251" s="10" t="s">
        <v>1091</v>
      </c>
      <c r="G251" s="10" t="s">
        <v>53</v>
      </c>
      <c r="H251" s="10" t="s">
        <v>1078</v>
      </c>
      <c r="L251" s="10">
        <v>40</v>
      </c>
      <c r="M251" s="1"/>
      <c r="N251" s="10">
        <v>40</v>
      </c>
      <c r="O251" s="56"/>
      <c r="P251" s="1"/>
      <c r="Q251" s="59"/>
      <c r="T251" s="10">
        <v>1990</v>
      </c>
      <c r="U251" s="10">
        <v>2030</v>
      </c>
      <c r="V251" s="10">
        <v>0</v>
      </c>
      <c r="W251" s="10">
        <v>0</v>
      </c>
      <c r="X251" s="10" t="s">
        <v>51</v>
      </c>
      <c r="Y251" s="10" t="s">
        <v>51</v>
      </c>
      <c r="AB251" s="10">
        <v>1</v>
      </c>
      <c r="AC251" s="10">
        <v>2050</v>
      </c>
      <c r="AF251" s="10" t="s">
        <v>215</v>
      </c>
      <c r="AL251" s="10" t="s">
        <v>101</v>
      </c>
    </row>
    <row r="252" spans="1:38" s="10" customFormat="1" x14ac:dyDescent="0.35">
      <c r="A252" s="10" t="s">
        <v>435</v>
      </c>
      <c r="B252" s="10" t="s">
        <v>1030</v>
      </c>
      <c r="C252" s="10" t="s">
        <v>102</v>
      </c>
      <c r="D252" s="10" t="s">
        <v>342</v>
      </c>
      <c r="E252" s="10" t="s">
        <v>1091</v>
      </c>
      <c r="F252" s="10" t="s">
        <v>1091</v>
      </c>
      <c r="G252" s="10" t="s">
        <v>53</v>
      </c>
      <c r="H252" s="10" t="s">
        <v>1078</v>
      </c>
      <c r="L252" s="10" t="s">
        <v>342</v>
      </c>
      <c r="M252" s="1"/>
      <c r="N252" s="10" t="s">
        <v>342</v>
      </c>
      <c r="O252" s="56"/>
      <c r="P252" s="1"/>
      <c r="Q252" s="59"/>
      <c r="T252" s="10">
        <v>1990</v>
      </c>
      <c r="U252" s="10">
        <v>2030</v>
      </c>
      <c r="V252" s="10">
        <v>0</v>
      </c>
      <c r="W252" s="10">
        <v>0</v>
      </c>
      <c r="X252" s="10" t="s">
        <v>51</v>
      </c>
      <c r="Y252" s="10" t="s">
        <v>51</v>
      </c>
      <c r="AB252" s="10">
        <v>1</v>
      </c>
      <c r="AC252" s="10">
        <v>2050</v>
      </c>
      <c r="AF252" s="10" t="s">
        <v>215</v>
      </c>
      <c r="AL252" s="10" t="s">
        <v>343</v>
      </c>
    </row>
    <row r="253" spans="1:38" s="2" customFormat="1" hidden="1" x14ac:dyDescent="0.35">
      <c r="A253" s="2" t="s">
        <v>435</v>
      </c>
      <c r="B253" s="2" t="s">
        <v>1031</v>
      </c>
      <c r="C253" s="26"/>
      <c r="D253" s="26"/>
      <c r="E253" s="26"/>
      <c r="F253" s="26"/>
      <c r="G253" s="26"/>
      <c r="H253" s="10"/>
      <c r="I253" s="10"/>
      <c r="J253" s="10"/>
      <c r="K253" s="1"/>
      <c r="M253" s="10"/>
      <c r="Q253" s="10"/>
      <c r="S253" s="1"/>
      <c r="T253" s="1"/>
      <c r="U253" s="1"/>
      <c r="V253" s="1"/>
      <c r="W253" s="1"/>
      <c r="X253" s="1"/>
      <c r="Y253" s="1"/>
      <c r="Z253" s="1"/>
    </row>
    <row r="254" spans="1:38" s="2" customFormat="1" hidden="1" x14ac:dyDescent="0.35">
      <c r="A254" s="2" t="s">
        <v>437</v>
      </c>
      <c r="B254" s="2" t="s">
        <v>1028</v>
      </c>
      <c r="C254" s="26"/>
      <c r="D254" s="26"/>
      <c r="E254" s="26"/>
      <c r="F254" s="26"/>
      <c r="G254" s="26"/>
      <c r="H254" s="10"/>
      <c r="I254" s="10"/>
      <c r="J254" s="10"/>
      <c r="K254" s="1"/>
      <c r="M254" s="10"/>
      <c r="Q254" s="10"/>
      <c r="S254" s="1"/>
      <c r="T254" s="1"/>
      <c r="U254" s="1"/>
      <c r="V254" s="1"/>
      <c r="W254" s="1"/>
      <c r="X254" s="1"/>
      <c r="Y254" s="1"/>
      <c r="Z254" s="1"/>
    </row>
    <row r="255" spans="1:38" s="10" customFormat="1" x14ac:dyDescent="0.35">
      <c r="A255" s="10" t="s">
        <v>437</v>
      </c>
      <c r="B255" s="10" t="s">
        <v>1029</v>
      </c>
      <c r="C255" s="10">
        <v>42500</v>
      </c>
      <c r="D255" s="10">
        <v>40</v>
      </c>
      <c r="E255" s="10" t="s">
        <v>1091</v>
      </c>
      <c r="F255" s="10" t="s">
        <v>1091</v>
      </c>
      <c r="G255" s="10" t="s">
        <v>53</v>
      </c>
      <c r="H255" s="10" t="s">
        <v>1078</v>
      </c>
      <c r="L255" s="10">
        <v>40</v>
      </c>
      <c r="M255" s="1"/>
      <c r="N255" s="10">
        <v>40</v>
      </c>
      <c r="O255" s="56"/>
      <c r="P255" s="1"/>
      <c r="Q255" s="59"/>
      <c r="T255" s="10">
        <v>1990</v>
      </c>
      <c r="U255" s="10">
        <v>2030</v>
      </c>
      <c r="V255" s="10">
        <v>0</v>
      </c>
      <c r="W255" s="10">
        <v>0</v>
      </c>
      <c r="X255" s="10" t="s">
        <v>51</v>
      </c>
      <c r="Y255" s="10" t="s">
        <v>51</v>
      </c>
      <c r="AB255" s="10">
        <v>1</v>
      </c>
      <c r="AC255" s="10">
        <v>2050</v>
      </c>
      <c r="AF255" s="10" t="s">
        <v>215</v>
      </c>
      <c r="AL255" s="10" t="s">
        <v>101</v>
      </c>
    </row>
    <row r="256" spans="1:38" s="10" customFormat="1" x14ac:dyDescent="0.35">
      <c r="A256" s="10" t="s">
        <v>437</v>
      </c>
      <c r="B256" s="10" t="s">
        <v>1030</v>
      </c>
      <c r="C256" s="10" t="s">
        <v>102</v>
      </c>
      <c r="D256" s="10" t="s">
        <v>342</v>
      </c>
      <c r="E256" s="10" t="s">
        <v>1091</v>
      </c>
      <c r="F256" s="10" t="s">
        <v>1091</v>
      </c>
      <c r="G256" s="10" t="s">
        <v>53</v>
      </c>
      <c r="H256" s="10" t="s">
        <v>1078</v>
      </c>
      <c r="L256" s="10" t="s">
        <v>342</v>
      </c>
      <c r="M256" s="1"/>
      <c r="N256" s="10" t="s">
        <v>342</v>
      </c>
      <c r="O256" s="56"/>
      <c r="P256" s="1"/>
      <c r="Q256" s="59"/>
      <c r="T256" s="10">
        <v>1990</v>
      </c>
      <c r="U256" s="10">
        <v>2030</v>
      </c>
      <c r="V256" s="10">
        <v>0</v>
      </c>
      <c r="W256" s="10">
        <v>0</v>
      </c>
      <c r="X256" s="10" t="s">
        <v>51</v>
      </c>
      <c r="Y256" s="10" t="s">
        <v>51</v>
      </c>
      <c r="AB256" s="10">
        <v>1</v>
      </c>
      <c r="AC256" s="10">
        <v>2050</v>
      </c>
      <c r="AF256" s="10" t="s">
        <v>215</v>
      </c>
      <c r="AL256" s="10" t="s">
        <v>343</v>
      </c>
    </row>
    <row r="257" spans="1:38" s="2" customFormat="1" hidden="1" x14ac:dyDescent="0.35">
      <c r="A257" s="2" t="s">
        <v>437</v>
      </c>
      <c r="B257" s="2" t="s">
        <v>1031</v>
      </c>
      <c r="C257" s="26"/>
      <c r="D257" s="26"/>
      <c r="E257" s="26"/>
      <c r="F257" s="26"/>
      <c r="G257" s="26"/>
      <c r="H257" s="10"/>
      <c r="I257" s="10"/>
      <c r="J257" s="10"/>
      <c r="K257" s="1"/>
      <c r="M257" s="10"/>
      <c r="Q257" s="10"/>
      <c r="S257" s="1"/>
      <c r="T257" s="1"/>
      <c r="U257" s="1"/>
      <c r="V257" s="1"/>
      <c r="W257" s="1"/>
      <c r="X257" s="1"/>
      <c r="Y257" s="1"/>
      <c r="Z257" s="1"/>
    </row>
    <row r="258" spans="1:38" s="10" customFormat="1" hidden="1" x14ac:dyDescent="0.35">
      <c r="A258" s="10" t="s">
        <v>438</v>
      </c>
      <c r="B258" s="10" t="s">
        <v>1028</v>
      </c>
      <c r="C258" s="26">
        <v>42008</v>
      </c>
      <c r="D258" s="26" t="s">
        <v>439</v>
      </c>
      <c r="E258" s="26"/>
      <c r="F258" s="26"/>
      <c r="G258" s="26" t="s">
        <v>440</v>
      </c>
      <c r="H258" s="2" t="s">
        <v>1078</v>
      </c>
      <c r="K258" s="1"/>
      <c r="L258" s="10" t="s">
        <v>439</v>
      </c>
      <c r="N258" s="10" t="s">
        <v>439</v>
      </c>
      <c r="S258" s="1" t="s">
        <v>45</v>
      </c>
      <c r="T258" s="1"/>
      <c r="U258" s="1">
        <v>2025</v>
      </c>
      <c r="V258" s="1">
        <v>0</v>
      </c>
      <c r="W258" s="1">
        <v>1</v>
      </c>
      <c r="X258" s="1" t="s">
        <v>32</v>
      </c>
      <c r="Y258" s="1" t="s">
        <v>32</v>
      </c>
      <c r="Z258" s="1"/>
      <c r="AB258" s="10">
        <v>0</v>
      </c>
      <c r="AF258" s="10" t="s">
        <v>441</v>
      </c>
    </row>
    <row r="259" spans="1:38" s="10" customFormat="1" ht="17" x14ac:dyDescent="0.35">
      <c r="A259" s="10" t="s">
        <v>438</v>
      </c>
      <c r="B259" s="10" t="s">
        <v>1029</v>
      </c>
      <c r="C259" s="14" t="s">
        <v>1132</v>
      </c>
      <c r="D259" s="10" t="s">
        <v>439</v>
      </c>
      <c r="E259" s="10" t="s">
        <v>1114</v>
      </c>
      <c r="G259" s="10" t="s">
        <v>389</v>
      </c>
      <c r="H259" s="10" t="s">
        <v>1078</v>
      </c>
      <c r="L259" s="10" t="s">
        <v>439</v>
      </c>
      <c r="M259" s="1"/>
      <c r="N259" s="10" t="s">
        <v>439</v>
      </c>
      <c r="O259" s="56"/>
      <c r="P259" s="1"/>
      <c r="Q259" s="59"/>
      <c r="S259" s="10" t="s">
        <v>45</v>
      </c>
      <c r="U259" s="10">
        <v>2025</v>
      </c>
      <c r="V259" s="10">
        <v>0</v>
      </c>
      <c r="X259" s="10" t="s">
        <v>32</v>
      </c>
      <c r="Y259" s="10" t="s">
        <v>32</v>
      </c>
      <c r="AB259" s="10">
        <v>0</v>
      </c>
      <c r="AF259" s="10" t="s">
        <v>441</v>
      </c>
    </row>
    <row r="260" spans="1:38" s="10" customFormat="1" ht="17" x14ac:dyDescent="0.35">
      <c r="A260" s="10" t="s">
        <v>438</v>
      </c>
      <c r="B260" s="10" t="s">
        <v>1030</v>
      </c>
      <c r="C260" s="33">
        <v>44719</v>
      </c>
      <c r="G260" s="10" t="s">
        <v>129</v>
      </c>
      <c r="H260" s="10" t="s">
        <v>1078</v>
      </c>
      <c r="M260" s="1">
        <v>100000</v>
      </c>
      <c r="O260" s="56"/>
      <c r="P260" s="1"/>
      <c r="Q260" s="59"/>
      <c r="U260" s="10">
        <v>2050</v>
      </c>
      <c r="V260" s="10">
        <v>1</v>
      </c>
      <c r="W260" s="10">
        <v>1</v>
      </c>
      <c r="X260" s="10" t="s">
        <v>78</v>
      </c>
      <c r="Y260" s="10" t="s">
        <v>78</v>
      </c>
      <c r="Z260" s="10" t="s">
        <v>1074</v>
      </c>
      <c r="AB260" s="10">
        <v>1</v>
      </c>
      <c r="AC260" s="10">
        <v>2050</v>
      </c>
      <c r="AF260" s="10" t="s">
        <v>442</v>
      </c>
      <c r="AG260" s="10" t="s">
        <v>443</v>
      </c>
    </row>
    <row r="261" spans="1:38" s="10" customFormat="1" ht="17" hidden="1" x14ac:dyDescent="0.35">
      <c r="A261" s="10" t="s">
        <v>438</v>
      </c>
      <c r="B261" s="10" t="s">
        <v>1031</v>
      </c>
      <c r="C261" s="30" t="s">
        <v>1045</v>
      </c>
      <c r="D261" s="26"/>
      <c r="E261" s="26"/>
      <c r="F261" s="26"/>
      <c r="G261" s="26"/>
      <c r="I261" s="14"/>
      <c r="J261" s="14"/>
      <c r="K261" s="18"/>
      <c r="S261" s="1"/>
      <c r="T261" s="1"/>
      <c r="U261" s="1">
        <v>2050</v>
      </c>
      <c r="V261" s="1"/>
      <c r="W261" s="1"/>
      <c r="X261" s="1"/>
      <c r="Y261" s="1"/>
      <c r="Z261" s="1"/>
      <c r="AB261" s="10">
        <v>1</v>
      </c>
    </row>
    <row r="262" spans="1:38" s="2" customFormat="1" hidden="1" x14ac:dyDescent="0.35">
      <c r="A262" s="2" t="s">
        <v>444</v>
      </c>
      <c r="B262" s="2" t="s">
        <v>1028</v>
      </c>
      <c r="C262" s="26" t="s">
        <v>170</v>
      </c>
      <c r="D262" s="26">
        <v>45.4</v>
      </c>
      <c r="E262" s="26"/>
      <c r="F262" s="26"/>
      <c r="G262" s="26" t="s">
        <v>446</v>
      </c>
      <c r="H262" s="10" t="s">
        <v>1077</v>
      </c>
      <c r="I262" s="10"/>
      <c r="J262" s="10"/>
      <c r="K262" s="1"/>
      <c r="L262" s="2">
        <v>45.4</v>
      </c>
      <c r="M262" s="10"/>
      <c r="Q262" s="10"/>
      <c r="R262" s="2" t="s">
        <v>445</v>
      </c>
      <c r="S262" s="1" t="s">
        <v>45</v>
      </c>
      <c r="T262" s="1"/>
      <c r="U262" s="1">
        <v>2030</v>
      </c>
      <c r="V262" s="1">
        <v>1</v>
      </c>
      <c r="W262" s="1">
        <v>1</v>
      </c>
      <c r="X262" s="1" t="s">
        <v>32</v>
      </c>
      <c r="Y262" s="1" t="s">
        <v>32</v>
      </c>
      <c r="Z262" s="1"/>
      <c r="AA262" s="2">
        <v>2025</v>
      </c>
      <c r="AB262" s="2">
        <v>0</v>
      </c>
      <c r="AF262" s="2" t="s">
        <v>447</v>
      </c>
      <c r="AL262" s="2" t="s">
        <v>448</v>
      </c>
    </row>
    <row r="263" spans="1:38" s="10" customFormat="1" ht="17" x14ac:dyDescent="0.35">
      <c r="A263" s="10" t="s">
        <v>444</v>
      </c>
      <c r="B263" s="10" t="s">
        <v>1029</v>
      </c>
      <c r="C263" s="33">
        <v>42562</v>
      </c>
      <c r="D263" s="10">
        <v>45.4</v>
      </c>
      <c r="E263" s="10" t="s">
        <v>1133</v>
      </c>
      <c r="F263" s="10" t="s">
        <v>1134</v>
      </c>
      <c r="G263" s="10" t="s">
        <v>38</v>
      </c>
      <c r="H263" s="10" t="s">
        <v>1077</v>
      </c>
      <c r="L263" s="10">
        <v>45.4</v>
      </c>
      <c r="M263" s="1"/>
      <c r="O263" s="56"/>
      <c r="P263" s="1"/>
      <c r="Q263" s="59"/>
      <c r="R263" s="10" t="s">
        <v>445</v>
      </c>
      <c r="S263" s="10" t="s">
        <v>45</v>
      </c>
      <c r="U263" s="10">
        <v>2030</v>
      </c>
      <c r="V263" s="10">
        <v>1</v>
      </c>
      <c r="W263" s="10">
        <v>1</v>
      </c>
      <c r="X263" s="10" t="s">
        <v>32</v>
      </c>
      <c r="Y263" s="10" t="s">
        <v>32</v>
      </c>
      <c r="AA263" s="10">
        <v>2025</v>
      </c>
      <c r="AB263" s="10">
        <v>0</v>
      </c>
      <c r="AF263" s="10" t="s">
        <v>447</v>
      </c>
      <c r="AL263" s="10" t="s">
        <v>448</v>
      </c>
    </row>
    <row r="264" spans="1:38" s="10" customFormat="1" ht="17" x14ac:dyDescent="0.35">
      <c r="A264" s="10" t="s">
        <v>444</v>
      </c>
      <c r="B264" s="10" t="s">
        <v>1030</v>
      </c>
      <c r="C264" s="33">
        <v>44539</v>
      </c>
      <c r="D264" s="10" t="s">
        <v>449</v>
      </c>
      <c r="E264" s="10" t="s">
        <v>1114</v>
      </c>
      <c r="G264" s="10" t="s">
        <v>53</v>
      </c>
      <c r="H264" s="10" t="s">
        <v>1077</v>
      </c>
      <c r="L264" s="10" t="s">
        <v>449</v>
      </c>
      <c r="M264" s="1"/>
      <c r="O264" s="56"/>
      <c r="P264" s="1"/>
      <c r="Q264" s="59"/>
      <c r="S264" s="10" t="s">
        <v>45</v>
      </c>
      <c r="U264" s="10">
        <v>2030</v>
      </c>
      <c r="V264" s="10">
        <v>1</v>
      </c>
      <c r="W264" s="10">
        <v>1</v>
      </c>
      <c r="X264" s="10" t="s">
        <v>32</v>
      </c>
      <c r="Y264" s="10" t="s">
        <v>32</v>
      </c>
      <c r="AB264" s="10">
        <v>0</v>
      </c>
      <c r="AF264" s="10" t="s">
        <v>450</v>
      </c>
      <c r="AL264" s="10" t="s">
        <v>451</v>
      </c>
    </row>
    <row r="265" spans="1:38" s="2" customFormat="1" hidden="1" x14ac:dyDescent="0.35">
      <c r="A265" s="2" t="s">
        <v>444</v>
      </c>
      <c r="B265" s="2" t="s">
        <v>1031</v>
      </c>
      <c r="C265" s="26"/>
      <c r="D265" s="26"/>
      <c r="E265" s="26"/>
      <c r="F265" s="26"/>
      <c r="G265" s="26"/>
      <c r="H265" s="10"/>
      <c r="I265" s="10"/>
      <c r="J265" s="10"/>
      <c r="K265" s="1"/>
      <c r="M265" s="10"/>
      <c r="Q265" s="10"/>
      <c r="S265" s="1"/>
      <c r="T265" s="1"/>
      <c r="U265" s="1"/>
      <c r="V265" s="1"/>
      <c r="W265" s="1"/>
      <c r="X265" s="1"/>
      <c r="Y265" s="1"/>
      <c r="Z265" s="1"/>
    </row>
    <row r="266" spans="1:38" s="2" customFormat="1" hidden="1" x14ac:dyDescent="0.35">
      <c r="A266" s="2" t="s">
        <v>452</v>
      </c>
      <c r="B266" s="2" t="s">
        <v>1028</v>
      </c>
      <c r="C266" s="26" t="s">
        <v>128</v>
      </c>
      <c r="D266" s="26" t="s">
        <v>191</v>
      </c>
      <c r="E266" s="26"/>
      <c r="F266" s="26"/>
      <c r="G266" s="26" t="s">
        <v>446</v>
      </c>
      <c r="H266" s="10" t="s">
        <v>1077</v>
      </c>
      <c r="I266" s="10"/>
      <c r="J266" s="10"/>
      <c r="K266" s="1"/>
      <c r="L266" s="2" t="s">
        <v>191</v>
      </c>
      <c r="M266" s="10"/>
      <c r="Q266" s="10"/>
      <c r="S266" s="1" t="s">
        <v>45</v>
      </c>
      <c r="T266" s="1"/>
      <c r="U266" s="1">
        <v>2030</v>
      </c>
      <c r="V266" s="1">
        <v>1</v>
      </c>
      <c r="W266" s="1">
        <v>1</v>
      </c>
      <c r="X266" s="1" t="s">
        <v>32</v>
      </c>
      <c r="Y266" s="1" t="s">
        <v>32</v>
      </c>
      <c r="Z266" s="1"/>
      <c r="AB266" s="2">
        <v>0</v>
      </c>
      <c r="AF266" s="2" t="s">
        <v>453</v>
      </c>
      <c r="AL266" s="2" t="s">
        <v>454</v>
      </c>
    </row>
    <row r="267" spans="1:38" s="10" customFormat="1" ht="17" x14ac:dyDescent="0.35">
      <c r="A267" s="10" t="s">
        <v>452</v>
      </c>
      <c r="B267" s="10" t="s">
        <v>1029</v>
      </c>
      <c r="C267" s="33">
        <v>42952</v>
      </c>
      <c r="D267" s="10" t="s">
        <v>191</v>
      </c>
      <c r="E267" s="10" t="s">
        <v>1091</v>
      </c>
      <c r="F267" s="10" t="s">
        <v>1091</v>
      </c>
      <c r="G267" s="10" t="s">
        <v>446</v>
      </c>
      <c r="H267" s="10" t="s">
        <v>1077</v>
      </c>
      <c r="L267" s="10" t="s">
        <v>191</v>
      </c>
      <c r="M267" s="1"/>
      <c r="O267" s="56"/>
      <c r="P267" s="1"/>
      <c r="Q267" s="59"/>
      <c r="S267" s="10" t="s">
        <v>45</v>
      </c>
      <c r="U267" s="10">
        <v>2030</v>
      </c>
      <c r="V267" s="10">
        <v>1</v>
      </c>
      <c r="W267" s="10">
        <v>1</v>
      </c>
      <c r="X267" s="10" t="s">
        <v>32</v>
      </c>
      <c r="Y267" s="10" t="s">
        <v>32</v>
      </c>
      <c r="AB267" s="10">
        <v>0</v>
      </c>
      <c r="AF267" s="10" t="s">
        <v>453</v>
      </c>
      <c r="AL267" s="10" t="s">
        <v>454</v>
      </c>
    </row>
    <row r="268" spans="1:38" s="10" customFormat="1" ht="17" x14ac:dyDescent="0.35">
      <c r="A268" s="10" t="s">
        <v>452</v>
      </c>
      <c r="B268" s="10" t="s">
        <v>1030</v>
      </c>
      <c r="C268" s="33">
        <v>44321</v>
      </c>
      <c r="D268" s="10">
        <v>53.5</v>
      </c>
      <c r="E268" s="10" t="s">
        <v>1096</v>
      </c>
      <c r="F268" s="10" t="s">
        <v>1135</v>
      </c>
      <c r="G268" s="10" t="s">
        <v>446</v>
      </c>
      <c r="H268" s="10" t="s">
        <v>1077</v>
      </c>
      <c r="L268" s="10">
        <v>53.5</v>
      </c>
      <c r="M268" s="1"/>
      <c r="N268" s="10" t="s">
        <v>455</v>
      </c>
      <c r="O268" s="56"/>
      <c r="P268" s="1">
        <v>18.5</v>
      </c>
      <c r="Q268" s="59"/>
      <c r="T268" s="10">
        <v>1990</v>
      </c>
      <c r="U268" s="10">
        <v>2030</v>
      </c>
      <c r="V268" s="10">
        <v>1</v>
      </c>
      <c r="W268" s="10">
        <v>1</v>
      </c>
      <c r="X268" s="10" t="s">
        <v>51</v>
      </c>
      <c r="Y268" s="10" t="s">
        <v>51</v>
      </c>
      <c r="AB268" s="10">
        <v>0</v>
      </c>
      <c r="AF268" s="10" t="s">
        <v>456</v>
      </c>
      <c r="AL268" s="10" t="s">
        <v>457</v>
      </c>
    </row>
    <row r="269" spans="1:38" s="2" customFormat="1" ht="17" hidden="1" x14ac:dyDescent="0.35">
      <c r="A269" s="2" t="s">
        <v>452</v>
      </c>
      <c r="B269" s="2" t="s">
        <v>1031</v>
      </c>
      <c r="C269" s="30" t="s">
        <v>1046</v>
      </c>
      <c r="D269" s="26">
        <v>50</v>
      </c>
      <c r="E269" s="26"/>
      <c r="F269" s="26"/>
      <c r="G269" s="26"/>
      <c r="H269" s="10" t="s">
        <v>1077</v>
      </c>
      <c r="I269" s="14"/>
      <c r="J269" s="14"/>
      <c r="K269" s="18"/>
      <c r="L269" s="2">
        <v>50</v>
      </c>
      <c r="M269" s="10"/>
      <c r="Q269" s="10"/>
      <c r="S269" s="1"/>
      <c r="T269" s="1">
        <v>1990</v>
      </c>
      <c r="U269" s="1">
        <v>2035</v>
      </c>
      <c r="V269" s="1">
        <v>1</v>
      </c>
      <c r="W269" s="1">
        <v>1</v>
      </c>
      <c r="X269" s="1" t="s">
        <v>51</v>
      </c>
      <c r="Y269" s="1" t="s">
        <v>51</v>
      </c>
      <c r="Z269" s="1"/>
      <c r="AB269" s="2">
        <v>0</v>
      </c>
    </row>
    <row r="270" spans="1:38" s="2" customFormat="1" hidden="1" x14ac:dyDescent="0.35">
      <c r="A270" s="2" t="s">
        <v>458</v>
      </c>
      <c r="B270" s="2" t="s">
        <v>1028</v>
      </c>
      <c r="C270" s="26"/>
      <c r="D270" s="26"/>
      <c r="E270" s="26"/>
      <c r="F270" s="26"/>
      <c r="G270" s="26"/>
      <c r="H270" s="10"/>
      <c r="I270" s="10"/>
      <c r="J270" s="10"/>
      <c r="K270" s="1"/>
      <c r="M270" s="10"/>
      <c r="Q270" s="10"/>
      <c r="S270" s="1"/>
      <c r="T270" s="1"/>
      <c r="U270" s="1"/>
      <c r="V270" s="1"/>
      <c r="W270" s="1"/>
      <c r="X270" s="1"/>
      <c r="Y270" s="1"/>
      <c r="Z270" s="1"/>
    </row>
    <row r="271" spans="1:38" s="10" customFormat="1" x14ac:dyDescent="0.35">
      <c r="A271" s="10" t="s">
        <v>458</v>
      </c>
      <c r="B271" s="10" t="s">
        <v>1029</v>
      </c>
      <c r="C271" s="10">
        <v>42500</v>
      </c>
      <c r="D271" s="10">
        <v>40</v>
      </c>
      <c r="E271" s="10" t="s">
        <v>1091</v>
      </c>
      <c r="F271" s="10" t="s">
        <v>1091</v>
      </c>
      <c r="G271" s="10" t="s">
        <v>53</v>
      </c>
      <c r="H271" s="10" t="s">
        <v>1078</v>
      </c>
      <c r="L271" s="10">
        <v>40</v>
      </c>
      <c r="M271" s="1"/>
      <c r="N271" s="10">
        <v>40</v>
      </c>
      <c r="O271" s="56"/>
      <c r="P271" s="1"/>
      <c r="Q271" s="59"/>
      <c r="T271" s="10">
        <v>1990</v>
      </c>
      <c r="U271" s="10">
        <v>2030</v>
      </c>
      <c r="V271" s="10">
        <v>0</v>
      </c>
      <c r="W271" s="10">
        <v>0</v>
      </c>
      <c r="X271" s="10" t="s">
        <v>51</v>
      </c>
      <c r="Y271" s="10" t="s">
        <v>51</v>
      </c>
      <c r="AB271" s="10">
        <v>1</v>
      </c>
      <c r="AC271" s="10">
        <v>2050</v>
      </c>
      <c r="AF271" s="10" t="s">
        <v>215</v>
      </c>
      <c r="AL271" s="10" t="s">
        <v>101</v>
      </c>
    </row>
    <row r="272" spans="1:38" s="10" customFormat="1" x14ac:dyDescent="0.35">
      <c r="A272" s="10" t="s">
        <v>458</v>
      </c>
      <c r="B272" s="10" t="s">
        <v>1030</v>
      </c>
      <c r="C272" s="10" t="s">
        <v>102</v>
      </c>
      <c r="D272" s="10" t="s">
        <v>342</v>
      </c>
      <c r="E272" s="10" t="s">
        <v>1091</v>
      </c>
      <c r="F272" s="10" t="s">
        <v>1091</v>
      </c>
      <c r="G272" s="10" t="s">
        <v>53</v>
      </c>
      <c r="H272" s="10" t="s">
        <v>1078</v>
      </c>
      <c r="L272" s="10" t="s">
        <v>342</v>
      </c>
      <c r="M272" s="1"/>
      <c r="N272" s="10" t="s">
        <v>342</v>
      </c>
      <c r="O272" s="56"/>
      <c r="P272" s="1"/>
      <c r="Q272" s="59"/>
      <c r="T272" s="10">
        <v>1990</v>
      </c>
      <c r="U272" s="10">
        <v>2030</v>
      </c>
      <c r="V272" s="10">
        <v>0</v>
      </c>
      <c r="W272" s="10">
        <v>0</v>
      </c>
      <c r="X272" s="10" t="s">
        <v>51</v>
      </c>
      <c r="Y272" s="10" t="s">
        <v>51</v>
      </c>
      <c r="AB272" s="10">
        <v>1</v>
      </c>
      <c r="AC272" s="10">
        <v>2050</v>
      </c>
      <c r="AF272" s="10" t="s">
        <v>215</v>
      </c>
      <c r="AL272" s="10" t="s">
        <v>343</v>
      </c>
    </row>
    <row r="273" spans="1:38" s="2" customFormat="1" hidden="1" x14ac:dyDescent="0.35">
      <c r="A273" s="2" t="s">
        <v>458</v>
      </c>
      <c r="B273" s="2" t="s">
        <v>1031</v>
      </c>
      <c r="C273" s="26"/>
      <c r="D273" s="26"/>
      <c r="E273" s="26"/>
      <c r="F273" s="26"/>
      <c r="G273" s="26"/>
      <c r="H273" s="10"/>
      <c r="I273" s="10"/>
      <c r="J273" s="10"/>
      <c r="K273" s="1"/>
      <c r="M273" s="10"/>
      <c r="Q273" s="10"/>
      <c r="S273" s="1"/>
      <c r="T273" s="1"/>
      <c r="U273" s="1"/>
      <c r="V273" s="1"/>
      <c r="W273" s="1"/>
      <c r="X273" s="1"/>
      <c r="Y273" s="1"/>
      <c r="Z273" s="1"/>
    </row>
    <row r="274" spans="1:38" s="2" customFormat="1" hidden="1" x14ac:dyDescent="0.35">
      <c r="A274" s="2" t="s">
        <v>459</v>
      </c>
      <c r="B274" s="2" t="s">
        <v>1028</v>
      </c>
      <c r="C274" s="26" t="s">
        <v>460</v>
      </c>
      <c r="D274" s="26">
        <v>15</v>
      </c>
      <c r="E274" s="26"/>
      <c r="F274" s="26"/>
      <c r="G274" s="26" t="s">
        <v>129</v>
      </c>
      <c r="H274" s="10" t="s">
        <v>1077</v>
      </c>
      <c r="I274" s="10"/>
      <c r="J274" s="10"/>
      <c r="K274" s="1"/>
      <c r="L274" s="2">
        <v>15</v>
      </c>
      <c r="M274" s="10"/>
      <c r="Q274" s="10"/>
      <c r="S274" s="1" t="s">
        <v>45</v>
      </c>
      <c r="T274" s="1"/>
      <c r="U274" s="1">
        <v>2030</v>
      </c>
      <c r="V274" s="1">
        <v>1</v>
      </c>
      <c r="W274" s="1">
        <v>1</v>
      </c>
      <c r="X274" s="1" t="s">
        <v>32</v>
      </c>
      <c r="Y274" s="1" t="s">
        <v>32</v>
      </c>
      <c r="Z274" s="1"/>
      <c r="AB274" s="2">
        <v>0</v>
      </c>
      <c r="AF274" s="2" t="s">
        <v>461</v>
      </c>
    </row>
    <row r="275" spans="1:38" s="10" customFormat="1" x14ac:dyDescent="0.35">
      <c r="A275" s="10" t="s">
        <v>459</v>
      </c>
      <c r="B275" s="10" t="s">
        <v>1029</v>
      </c>
      <c r="C275" s="10" t="s">
        <v>40</v>
      </c>
      <c r="D275" s="10">
        <v>15</v>
      </c>
      <c r="E275" s="10" t="s">
        <v>1091</v>
      </c>
      <c r="F275" s="10" t="s">
        <v>1091</v>
      </c>
      <c r="G275" s="10" t="s">
        <v>129</v>
      </c>
      <c r="H275" s="10" t="s">
        <v>1078</v>
      </c>
      <c r="L275" s="10">
        <v>15</v>
      </c>
      <c r="M275" s="1"/>
      <c r="O275" s="56"/>
      <c r="P275" s="1"/>
      <c r="Q275" s="59"/>
      <c r="S275" s="10" t="s">
        <v>45</v>
      </c>
      <c r="U275" s="10">
        <v>2030</v>
      </c>
      <c r="V275" s="10">
        <v>1</v>
      </c>
      <c r="W275" s="10">
        <v>1</v>
      </c>
      <c r="X275" s="10" t="s">
        <v>32</v>
      </c>
      <c r="Y275" s="10" t="s">
        <v>32</v>
      </c>
      <c r="AB275" s="10">
        <v>0</v>
      </c>
      <c r="AF275" s="10" t="s">
        <v>461</v>
      </c>
      <c r="AJ275" s="10" t="s">
        <v>462</v>
      </c>
    </row>
    <row r="276" spans="1:38" s="10" customFormat="1" ht="17" x14ac:dyDescent="0.35">
      <c r="A276" s="10" t="s">
        <v>459</v>
      </c>
      <c r="B276" s="10" t="s">
        <v>1030</v>
      </c>
      <c r="C276" s="33">
        <v>44297</v>
      </c>
      <c r="E276" s="10" t="s">
        <v>1100</v>
      </c>
      <c r="F276" s="10" t="s">
        <v>1101</v>
      </c>
      <c r="G276" s="10" t="s">
        <v>129</v>
      </c>
      <c r="H276" s="10" t="s">
        <v>1077</v>
      </c>
      <c r="M276" s="54">
        <v>64000</v>
      </c>
      <c r="O276" s="56"/>
      <c r="P276" s="1"/>
      <c r="Q276" s="59">
        <v>39400</v>
      </c>
      <c r="S276" s="10" t="s">
        <v>45</v>
      </c>
      <c r="U276" s="10">
        <v>2030</v>
      </c>
      <c r="V276" s="10">
        <v>1</v>
      </c>
      <c r="W276" s="10">
        <v>1</v>
      </c>
      <c r="X276" s="10" t="s">
        <v>78</v>
      </c>
      <c r="Y276" s="10" t="s">
        <v>78</v>
      </c>
      <c r="AB276" s="10">
        <v>0</v>
      </c>
      <c r="AF276" s="10" t="s">
        <v>463</v>
      </c>
    </row>
    <row r="277" spans="1:38" s="2" customFormat="1" hidden="1" x14ac:dyDescent="0.35">
      <c r="A277" s="2" t="s">
        <v>459</v>
      </c>
      <c r="B277" s="2" t="s">
        <v>1031</v>
      </c>
      <c r="C277" s="26"/>
      <c r="D277" s="26"/>
      <c r="E277" s="26"/>
      <c r="F277" s="26"/>
      <c r="G277" s="26"/>
      <c r="H277" s="10"/>
      <c r="I277" s="10"/>
      <c r="J277" s="10"/>
      <c r="K277" s="1"/>
      <c r="M277" s="10"/>
      <c r="Q277" s="10"/>
      <c r="S277" s="1"/>
      <c r="T277" s="1"/>
      <c r="U277" s="1"/>
      <c r="V277" s="1"/>
      <c r="W277" s="1"/>
      <c r="X277" s="1"/>
      <c r="Y277" s="1"/>
      <c r="Z277" s="1"/>
    </row>
    <row r="278" spans="1:38" s="2" customFormat="1" hidden="1" x14ac:dyDescent="0.35">
      <c r="A278" s="2" t="s">
        <v>464</v>
      </c>
      <c r="B278" s="2" t="s">
        <v>1028</v>
      </c>
      <c r="C278" s="26"/>
      <c r="D278" s="26"/>
      <c r="E278" s="26"/>
      <c r="F278" s="26"/>
      <c r="G278" s="26"/>
      <c r="H278" s="10"/>
      <c r="I278" s="10"/>
      <c r="J278" s="10"/>
      <c r="K278" s="1"/>
      <c r="M278" s="10"/>
      <c r="Q278" s="10"/>
      <c r="S278" s="1"/>
      <c r="T278" s="1"/>
      <c r="U278" s="1"/>
      <c r="V278" s="1"/>
      <c r="W278" s="1"/>
      <c r="X278" s="1"/>
      <c r="Y278" s="1"/>
      <c r="Z278" s="1"/>
    </row>
    <row r="279" spans="1:38" s="10" customFormat="1" x14ac:dyDescent="0.35">
      <c r="A279" s="10" t="s">
        <v>464</v>
      </c>
      <c r="B279" s="10" t="s">
        <v>1029</v>
      </c>
      <c r="C279" s="10" t="s">
        <v>465</v>
      </c>
      <c r="D279" s="10">
        <v>40</v>
      </c>
      <c r="E279" s="10" t="s">
        <v>1091</v>
      </c>
      <c r="F279" s="10" t="s">
        <v>1091</v>
      </c>
      <c r="G279" s="10" t="s">
        <v>53</v>
      </c>
      <c r="H279" s="10" t="s">
        <v>1078</v>
      </c>
      <c r="L279" s="10">
        <v>40</v>
      </c>
      <c r="M279" s="1"/>
      <c r="N279" s="10">
        <v>40</v>
      </c>
      <c r="O279" s="56"/>
      <c r="P279" s="1"/>
      <c r="Q279" s="59"/>
      <c r="T279" s="10">
        <v>1990</v>
      </c>
      <c r="U279" s="10">
        <v>2030</v>
      </c>
      <c r="V279" s="10">
        <v>0</v>
      </c>
      <c r="W279" s="10">
        <v>0</v>
      </c>
      <c r="X279" s="10" t="s">
        <v>51</v>
      </c>
      <c r="Y279" s="10" t="s">
        <v>51</v>
      </c>
      <c r="AB279" s="10">
        <v>1</v>
      </c>
      <c r="AC279" s="10">
        <v>2050</v>
      </c>
      <c r="AF279" s="10" t="s">
        <v>215</v>
      </c>
      <c r="AL279" s="10" t="s">
        <v>101</v>
      </c>
    </row>
    <row r="280" spans="1:38" s="10" customFormat="1" x14ac:dyDescent="0.35">
      <c r="A280" s="10" t="s">
        <v>464</v>
      </c>
      <c r="B280" s="10" t="s">
        <v>1030</v>
      </c>
      <c r="C280" s="10" t="s">
        <v>102</v>
      </c>
      <c r="D280" s="10" t="s">
        <v>342</v>
      </c>
      <c r="E280" s="10" t="s">
        <v>1091</v>
      </c>
      <c r="F280" s="10" t="s">
        <v>1091</v>
      </c>
      <c r="G280" s="10" t="s">
        <v>53</v>
      </c>
      <c r="H280" s="10" t="s">
        <v>1078</v>
      </c>
      <c r="L280" s="10" t="s">
        <v>342</v>
      </c>
      <c r="M280" s="1"/>
      <c r="N280" s="10" t="s">
        <v>342</v>
      </c>
      <c r="O280" s="56"/>
      <c r="P280" s="1"/>
      <c r="Q280" s="59"/>
      <c r="T280" s="10">
        <v>1990</v>
      </c>
      <c r="U280" s="10">
        <v>2030</v>
      </c>
      <c r="V280" s="10">
        <v>0</v>
      </c>
      <c r="W280" s="10">
        <v>0</v>
      </c>
      <c r="X280" s="10" t="s">
        <v>51</v>
      </c>
      <c r="Y280" s="10" t="s">
        <v>51</v>
      </c>
      <c r="AB280" s="10">
        <v>1</v>
      </c>
      <c r="AC280" s="10">
        <v>2050</v>
      </c>
      <c r="AF280" s="10" t="s">
        <v>215</v>
      </c>
      <c r="AL280" s="10" t="s">
        <v>343</v>
      </c>
    </row>
    <row r="281" spans="1:38" s="2" customFormat="1" hidden="1" x14ac:dyDescent="0.35">
      <c r="A281" s="2" t="s">
        <v>464</v>
      </c>
      <c r="B281" s="2" t="s">
        <v>1031</v>
      </c>
      <c r="C281" s="26"/>
      <c r="D281" s="26"/>
      <c r="E281" s="26"/>
      <c r="F281" s="26"/>
      <c r="G281" s="26"/>
      <c r="H281" s="10"/>
      <c r="I281" s="10"/>
      <c r="J281" s="10"/>
      <c r="K281" s="1"/>
      <c r="M281" s="10"/>
      <c r="Q281" s="10"/>
      <c r="S281" s="1"/>
      <c r="T281" s="1"/>
      <c r="U281" s="1"/>
      <c r="V281" s="1"/>
      <c r="W281" s="1"/>
      <c r="X281" s="1"/>
      <c r="Y281" s="1"/>
      <c r="Z281" s="1"/>
    </row>
    <row r="282" spans="1:38" s="2" customFormat="1" hidden="1" x14ac:dyDescent="0.35">
      <c r="A282" s="2" t="s">
        <v>466</v>
      </c>
      <c r="B282" s="2" t="s">
        <v>1028</v>
      </c>
      <c r="C282" s="26" t="s">
        <v>170</v>
      </c>
      <c r="D282" s="26">
        <v>40</v>
      </c>
      <c r="E282" s="26"/>
      <c r="F282" s="26"/>
      <c r="G282" s="26" t="s">
        <v>467</v>
      </c>
      <c r="H282" s="2" t="s">
        <v>1076</v>
      </c>
      <c r="I282" s="10"/>
      <c r="J282" s="10"/>
      <c r="K282" s="1"/>
      <c r="L282" s="2">
        <v>40</v>
      </c>
      <c r="M282" s="10"/>
      <c r="P282" s="2">
        <v>40</v>
      </c>
      <c r="Q282" s="10"/>
      <c r="R282" s="2">
        <v>30</v>
      </c>
      <c r="S282" s="1"/>
      <c r="T282" s="1">
        <v>2010</v>
      </c>
      <c r="U282" s="1">
        <v>2030</v>
      </c>
      <c r="V282" s="1">
        <v>1</v>
      </c>
      <c r="W282" s="1">
        <v>1</v>
      </c>
      <c r="X282" s="1" t="s">
        <v>51</v>
      </c>
      <c r="Y282" s="1" t="s">
        <v>51</v>
      </c>
      <c r="Z282" s="1"/>
      <c r="AA282" s="2">
        <v>2025</v>
      </c>
      <c r="AB282" s="2">
        <v>0</v>
      </c>
      <c r="AF282" s="2" t="s">
        <v>468</v>
      </c>
    </row>
    <row r="283" spans="1:38" s="10" customFormat="1" x14ac:dyDescent="0.35">
      <c r="A283" s="10" t="s">
        <v>466</v>
      </c>
      <c r="B283" s="10" t="s">
        <v>1029</v>
      </c>
      <c r="C283" s="10" t="s">
        <v>143</v>
      </c>
      <c r="D283" s="10">
        <v>40</v>
      </c>
      <c r="E283" s="10" t="s">
        <v>1097</v>
      </c>
      <c r="F283" s="10" t="s">
        <v>1097</v>
      </c>
      <c r="G283" s="10" t="s">
        <v>38</v>
      </c>
      <c r="H283" s="10" t="s">
        <v>1076</v>
      </c>
      <c r="L283" s="10">
        <v>40</v>
      </c>
      <c r="M283" s="1"/>
      <c r="O283" s="56"/>
      <c r="P283" s="1">
        <v>40</v>
      </c>
      <c r="Q283" s="59"/>
      <c r="R283" s="10">
        <v>30</v>
      </c>
      <c r="T283" s="10">
        <v>2010</v>
      </c>
      <c r="U283" s="10">
        <v>2030</v>
      </c>
      <c r="V283" s="10">
        <v>1</v>
      </c>
      <c r="W283" s="10">
        <v>1</v>
      </c>
      <c r="X283" s="10" t="s">
        <v>51</v>
      </c>
      <c r="Y283" s="10" t="s">
        <v>51</v>
      </c>
      <c r="AA283" s="10">
        <v>2025</v>
      </c>
      <c r="AB283" s="10">
        <v>0</v>
      </c>
      <c r="AF283" s="10" t="s">
        <v>468</v>
      </c>
    </row>
    <row r="284" spans="1:38" s="10" customFormat="1" x14ac:dyDescent="0.35">
      <c r="A284" s="10" t="s">
        <v>466</v>
      </c>
      <c r="B284" s="10" t="s">
        <v>1030</v>
      </c>
      <c r="C284" s="10" t="s">
        <v>469</v>
      </c>
      <c r="D284" s="10">
        <v>40</v>
      </c>
      <c r="E284" s="10" t="s">
        <v>1114</v>
      </c>
      <c r="F284" s="10" t="s">
        <v>1136</v>
      </c>
      <c r="G284" s="10" t="s">
        <v>129</v>
      </c>
      <c r="H284" s="10" t="s">
        <v>1076</v>
      </c>
      <c r="L284" s="10">
        <v>40</v>
      </c>
      <c r="M284" s="1"/>
      <c r="O284" s="56"/>
      <c r="P284" s="1">
        <v>40</v>
      </c>
      <c r="Q284" s="59"/>
      <c r="T284" s="10">
        <v>2010</v>
      </c>
      <c r="U284" s="10">
        <v>2030</v>
      </c>
      <c r="V284" s="10">
        <v>1</v>
      </c>
      <c r="W284" s="10">
        <v>1</v>
      </c>
      <c r="X284" s="10" t="s">
        <v>51</v>
      </c>
      <c r="Y284" s="10" t="s">
        <v>51</v>
      </c>
      <c r="AB284" s="10">
        <v>0</v>
      </c>
      <c r="AF284" s="10" t="s">
        <v>470</v>
      </c>
    </row>
    <row r="285" spans="1:38" s="2" customFormat="1" hidden="1" x14ac:dyDescent="0.35">
      <c r="A285" s="2" t="s">
        <v>466</v>
      </c>
      <c r="B285" s="2" t="s">
        <v>1031</v>
      </c>
      <c r="C285" s="26"/>
      <c r="D285" s="26"/>
      <c r="E285" s="26"/>
      <c r="F285" s="26"/>
      <c r="G285" s="26"/>
      <c r="H285" s="10"/>
      <c r="I285" s="10"/>
      <c r="J285" s="10"/>
      <c r="K285" s="1"/>
      <c r="M285" s="10"/>
      <c r="Q285" s="10"/>
      <c r="S285" s="1"/>
      <c r="T285" s="1"/>
      <c r="U285" s="1"/>
      <c r="V285" s="1"/>
      <c r="W285" s="1"/>
      <c r="X285" s="1"/>
      <c r="Y285" s="1"/>
      <c r="Z285" s="1"/>
    </row>
    <row r="286" spans="1:38" s="2" customFormat="1" hidden="1" x14ac:dyDescent="0.35">
      <c r="A286" s="2" t="s">
        <v>471</v>
      </c>
      <c r="B286" s="2" t="s">
        <v>1028</v>
      </c>
      <c r="C286" s="26" t="s">
        <v>140</v>
      </c>
      <c r="D286" s="26">
        <v>22.6</v>
      </c>
      <c r="E286" s="26"/>
      <c r="F286" s="26"/>
      <c r="G286" s="26" t="s">
        <v>38</v>
      </c>
      <c r="H286" s="10" t="s">
        <v>1077</v>
      </c>
      <c r="I286" s="10"/>
      <c r="J286" s="10"/>
      <c r="K286" s="1"/>
      <c r="L286" s="2">
        <v>22.6</v>
      </c>
      <c r="M286" s="10"/>
      <c r="N286" s="2" t="s">
        <v>472</v>
      </c>
      <c r="P286" s="2">
        <v>11.4</v>
      </c>
      <c r="Q286" s="10"/>
      <c r="S286" s="1" t="s">
        <v>45</v>
      </c>
      <c r="T286" s="1"/>
      <c r="U286" s="1">
        <v>2030</v>
      </c>
      <c r="V286" s="1">
        <v>1</v>
      </c>
      <c r="W286" s="1">
        <v>1</v>
      </c>
      <c r="X286" s="1" t="s">
        <v>32</v>
      </c>
      <c r="Y286" s="1" t="s">
        <v>32</v>
      </c>
      <c r="Z286" s="1"/>
      <c r="AB286" s="2">
        <v>0</v>
      </c>
      <c r="AF286" s="2" t="s">
        <v>473</v>
      </c>
    </row>
    <row r="287" spans="1:38" s="10" customFormat="1" x14ac:dyDescent="0.35">
      <c r="A287" s="10" t="s">
        <v>471</v>
      </c>
      <c r="B287" s="10" t="s">
        <v>1029</v>
      </c>
      <c r="C287" s="10" t="s">
        <v>474</v>
      </c>
      <c r="D287" s="10">
        <v>22.6</v>
      </c>
      <c r="E287" s="10" t="s">
        <v>1096</v>
      </c>
      <c r="F287" s="10" t="s">
        <v>1137</v>
      </c>
      <c r="G287" s="10" t="s">
        <v>38</v>
      </c>
      <c r="H287" s="10" t="s">
        <v>1077</v>
      </c>
      <c r="L287" s="10">
        <v>22.6</v>
      </c>
      <c r="M287" s="1"/>
      <c r="N287" s="10" t="s">
        <v>472</v>
      </c>
      <c r="O287" s="56"/>
      <c r="P287" s="1">
        <v>11.4</v>
      </c>
      <c r="Q287" s="59"/>
      <c r="S287" s="10" t="s">
        <v>45</v>
      </c>
      <c r="U287" s="10">
        <v>2030</v>
      </c>
      <c r="V287" s="10">
        <v>1</v>
      </c>
      <c r="W287" s="10">
        <v>1</v>
      </c>
      <c r="X287" s="10" t="s">
        <v>32</v>
      </c>
      <c r="Y287" s="10" t="s">
        <v>32</v>
      </c>
      <c r="AB287" s="10">
        <v>0</v>
      </c>
      <c r="AF287" s="10" t="s">
        <v>473</v>
      </c>
    </row>
    <row r="288" spans="1:38" s="10" customFormat="1" x14ac:dyDescent="0.35">
      <c r="A288" s="10" t="s">
        <v>471</v>
      </c>
      <c r="B288" s="10" t="s">
        <v>1030</v>
      </c>
      <c r="C288" s="10" t="s">
        <v>475</v>
      </c>
      <c r="D288" s="10">
        <v>22.6</v>
      </c>
      <c r="E288" s="10" t="s">
        <v>1096</v>
      </c>
      <c r="F288" s="10" t="s">
        <v>1096</v>
      </c>
      <c r="G288" s="10" t="s">
        <v>48</v>
      </c>
      <c r="H288" s="10" t="s">
        <v>1077</v>
      </c>
      <c r="L288" s="10">
        <v>22.6</v>
      </c>
      <c r="M288" s="1"/>
      <c r="N288" s="10" t="s">
        <v>472</v>
      </c>
      <c r="O288" s="56"/>
      <c r="P288" s="1">
        <v>11.4</v>
      </c>
      <c r="Q288" s="59"/>
      <c r="T288" s="10">
        <v>2016</v>
      </c>
      <c r="U288" s="10">
        <v>2030</v>
      </c>
      <c r="V288" s="10">
        <v>1</v>
      </c>
      <c r="W288" s="10">
        <v>1</v>
      </c>
      <c r="X288" s="10" t="s">
        <v>51</v>
      </c>
      <c r="Y288" s="10" t="s">
        <v>51</v>
      </c>
      <c r="AB288" s="10">
        <v>0</v>
      </c>
      <c r="AF288" s="10" t="s">
        <v>476</v>
      </c>
    </row>
    <row r="289" spans="1:36" s="2" customFormat="1" hidden="1" x14ac:dyDescent="0.35">
      <c r="A289" s="2" t="s">
        <v>471</v>
      </c>
      <c r="B289" s="2" t="s">
        <v>1031</v>
      </c>
      <c r="C289" s="26"/>
      <c r="D289" s="26"/>
      <c r="E289" s="26"/>
      <c r="F289" s="26"/>
      <c r="G289" s="26"/>
      <c r="H289" s="10"/>
      <c r="I289" s="10"/>
      <c r="J289" s="10"/>
      <c r="K289" s="1"/>
      <c r="M289" s="10"/>
      <c r="Q289" s="10"/>
      <c r="S289" s="1"/>
      <c r="T289" s="1"/>
      <c r="U289" s="1"/>
      <c r="V289" s="1"/>
      <c r="W289" s="1"/>
      <c r="X289" s="1"/>
      <c r="Y289" s="1"/>
      <c r="Z289" s="1"/>
    </row>
    <row r="290" spans="1:36" s="2" customFormat="1" hidden="1" x14ac:dyDescent="0.35">
      <c r="A290" s="2" t="s">
        <v>477</v>
      </c>
      <c r="B290" s="2" t="s">
        <v>1028</v>
      </c>
      <c r="C290" s="26" t="s">
        <v>478</v>
      </c>
      <c r="D290" s="26">
        <v>13</v>
      </c>
      <c r="E290" s="26"/>
      <c r="F290" s="26"/>
      <c r="G290" s="26" t="s">
        <v>38</v>
      </c>
      <c r="H290" s="2" t="s">
        <v>1076</v>
      </c>
      <c r="I290" s="10"/>
      <c r="J290" s="10"/>
      <c r="K290" s="1"/>
      <c r="L290" s="2">
        <v>13</v>
      </c>
      <c r="M290" s="10"/>
      <c r="P290" s="2">
        <v>13</v>
      </c>
      <c r="Q290" s="10"/>
      <c r="S290" s="1"/>
      <c r="T290" s="1">
        <v>1994</v>
      </c>
      <c r="U290" s="1">
        <v>2030</v>
      </c>
      <c r="V290" s="1">
        <v>1</v>
      </c>
      <c r="W290" s="1">
        <v>1</v>
      </c>
      <c r="X290" s="1" t="s">
        <v>51</v>
      </c>
      <c r="Y290" s="1" t="s">
        <v>51</v>
      </c>
      <c r="Z290" s="1"/>
      <c r="AB290" s="2">
        <v>0</v>
      </c>
      <c r="AF290" s="2" t="s">
        <v>479</v>
      </c>
    </row>
    <row r="291" spans="1:36" s="10" customFormat="1" x14ac:dyDescent="0.35">
      <c r="A291" s="10" t="s">
        <v>477</v>
      </c>
      <c r="B291" s="10" t="s">
        <v>1029</v>
      </c>
      <c r="C291" s="10" t="s">
        <v>40</v>
      </c>
      <c r="D291" s="10">
        <v>13</v>
      </c>
      <c r="E291" s="10" t="s">
        <v>1097</v>
      </c>
      <c r="F291" s="10" t="s">
        <v>1097</v>
      </c>
      <c r="G291" s="10" t="s">
        <v>38</v>
      </c>
      <c r="H291" s="10" t="s">
        <v>1076</v>
      </c>
      <c r="L291" s="10">
        <v>13</v>
      </c>
      <c r="M291" s="1"/>
      <c r="O291" s="56"/>
      <c r="P291" s="1">
        <v>13</v>
      </c>
      <c r="Q291" s="59"/>
      <c r="T291" s="10">
        <v>1994</v>
      </c>
      <c r="U291" s="10">
        <v>2030</v>
      </c>
      <c r="V291" s="10">
        <v>1</v>
      </c>
      <c r="W291" s="10">
        <v>1</v>
      </c>
      <c r="X291" s="10" t="s">
        <v>51</v>
      </c>
      <c r="Y291" s="10" t="s">
        <v>51</v>
      </c>
      <c r="AB291" s="10">
        <v>0</v>
      </c>
      <c r="AF291" s="10" t="s">
        <v>479</v>
      </c>
    </row>
    <row r="292" spans="1:36" s="10" customFormat="1" x14ac:dyDescent="0.35">
      <c r="A292" s="10" t="s">
        <v>477</v>
      </c>
      <c r="B292" s="10" t="s">
        <v>1030</v>
      </c>
      <c r="C292" s="10" t="s">
        <v>480</v>
      </c>
      <c r="D292" s="10">
        <v>17</v>
      </c>
      <c r="E292" s="10" t="s">
        <v>1096</v>
      </c>
      <c r="F292" s="10" t="s">
        <v>1137</v>
      </c>
      <c r="G292" s="10" t="s">
        <v>129</v>
      </c>
      <c r="H292" s="10" t="s">
        <v>1077</v>
      </c>
      <c r="L292" s="10">
        <v>17</v>
      </c>
      <c r="M292" s="1"/>
      <c r="N292" s="10">
        <v>9.6999999999999993</v>
      </c>
      <c r="O292" s="56"/>
      <c r="P292" s="1">
        <v>8.3000000000000007</v>
      </c>
      <c r="Q292" s="59"/>
      <c r="S292" s="10" t="s">
        <v>45</v>
      </c>
      <c r="U292" s="10">
        <v>2030</v>
      </c>
      <c r="V292" s="10">
        <v>1</v>
      </c>
      <c r="W292" s="10">
        <v>1</v>
      </c>
      <c r="X292" s="10" t="s">
        <v>32</v>
      </c>
      <c r="Y292" s="10" t="s">
        <v>32</v>
      </c>
      <c r="AB292" s="10">
        <v>0</v>
      </c>
      <c r="AF292" s="10" t="s">
        <v>481</v>
      </c>
    </row>
    <row r="293" spans="1:36" s="2" customFormat="1" hidden="1" x14ac:dyDescent="0.35">
      <c r="A293" s="2" t="s">
        <v>477</v>
      </c>
      <c r="B293" s="2" t="s">
        <v>1031</v>
      </c>
      <c r="C293" s="32">
        <v>45819</v>
      </c>
      <c r="D293" s="26">
        <v>49</v>
      </c>
      <c r="E293" s="26"/>
      <c r="F293" s="26"/>
      <c r="G293" s="26"/>
      <c r="H293" s="10" t="s">
        <v>1077</v>
      </c>
      <c r="I293" s="24"/>
      <c r="J293" s="24"/>
      <c r="K293" s="20"/>
      <c r="L293" s="2">
        <v>49</v>
      </c>
      <c r="M293" s="10"/>
      <c r="N293" s="2">
        <v>17</v>
      </c>
      <c r="P293" s="2">
        <v>32</v>
      </c>
      <c r="Q293" s="10"/>
      <c r="S293" s="1" t="s">
        <v>30</v>
      </c>
      <c r="T293" s="1"/>
      <c r="U293" s="1">
        <v>2035</v>
      </c>
      <c r="V293" s="1">
        <v>1</v>
      </c>
      <c r="W293" s="1">
        <v>1</v>
      </c>
      <c r="X293" s="1" t="s">
        <v>32</v>
      </c>
      <c r="Y293" s="1" t="s">
        <v>32</v>
      </c>
      <c r="Z293" s="1"/>
      <c r="AB293" s="2">
        <v>0</v>
      </c>
    </row>
    <row r="294" spans="1:36" s="2" customFormat="1" hidden="1" x14ac:dyDescent="0.35">
      <c r="A294" s="2" t="s">
        <v>482</v>
      </c>
      <c r="B294" s="2" t="s">
        <v>1028</v>
      </c>
      <c r="C294" s="26" t="s">
        <v>170</v>
      </c>
      <c r="D294" s="26"/>
      <c r="E294" s="26"/>
      <c r="F294" s="26"/>
      <c r="G294" s="26"/>
      <c r="U294" s="2">
        <v>2030</v>
      </c>
      <c r="V294" s="2">
        <v>1</v>
      </c>
      <c r="W294" s="2">
        <v>1</v>
      </c>
      <c r="AF294" s="2" t="s">
        <v>483</v>
      </c>
    </row>
    <row r="295" spans="1:36" s="10" customFormat="1" x14ac:dyDescent="0.35">
      <c r="A295" s="10" t="s">
        <v>482</v>
      </c>
      <c r="B295" s="10" t="s">
        <v>1029</v>
      </c>
      <c r="C295" s="10" t="s">
        <v>484</v>
      </c>
      <c r="I295" s="22" t="s">
        <v>1085</v>
      </c>
      <c r="M295" s="1"/>
      <c r="O295" s="56"/>
      <c r="P295" s="1"/>
      <c r="Q295" s="59"/>
      <c r="U295" s="10">
        <v>2030</v>
      </c>
      <c r="V295" s="10">
        <v>1</v>
      </c>
      <c r="W295" s="10">
        <v>1</v>
      </c>
      <c r="AF295" s="10" t="s">
        <v>483</v>
      </c>
      <c r="AJ295" s="10" t="s">
        <v>485</v>
      </c>
    </row>
    <row r="296" spans="1:36" s="10" customFormat="1" x14ac:dyDescent="0.35">
      <c r="A296" s="10" t="s">
        <v>482</v>
      </c>
      <c r="B296" s="10" t="s">
        <v>1030</v>
      </c>
      <c r="C296" s="10">
        <v>44540</v>
      </c>
      <c r="D296" s="10" t="s">
        <v>486</v>
      </c>
      <c r="E296" s="10" t="s">
        <v>1100</v>
      </c>
      <c r="F296" s="10" t="s">
        <v>1101</v>
      </c>
      <c r="G296" s="10" t="s">
        <v>53</v>
      </c>
      <c r="H296" s="10" t="s">
        <v>1077</v>
      </c>
      <c r="L296" s="10" t="s">
        <v>486</v>
      </c>
      <c r="M296" s="1"/>
      <c r="N296" s="10">
        <v>10</v>
      </c>
      <c r="O296" s="56"/>
      <c r="P296" s="1" t="s">
        <v>370</v>
      </c>
      <c r="Q296" s="59"/>
      <c r="S296" s="10" t="s">
        <v>45</v>
      </c>
      <c r="U296" s="10">
        <v>2030</v>
      </c>
      <c r="V296" s="10">
        <v>1</v>
      </c>
      <c r="W296" s="10">
        <v>1</v>
      </c>
      <c r="X296" s="10" t="s">
        <v>32</v>
      </c>
      <c r="Y296" s="10" t="s">
        <v>32</v>
      </c>
      <c r="AB296" s="10">
        <v>0</v>
      </c>
      <c r="AF296" s="10" t="s">
        <v>487</v>
      </c>
    </row>
    <row r="297" spans="1:36" s="2" customFormat="1" hidden="1" x14ac:dyDescent="0.35">
      <c r="A297" s="2" t="s">
        <v>482</v>
      </c>
      <c r="B297" s="2" t="s">
        <v>1031</v>
      </c>
      <c r="C297" s="26"/>
      <c r="D297" s="26"/>
      <c r="E297" s="26"/>
      <c r="F297" s="26"/>
      <c r="G297" s="26"/>
      <c r="H297" s="10"/>
      <c r="I297" s="10"/>
      <c r="J297" s="10"/>
      <c r="K297" s="1"/>
      <c r="M297" s="10"/>
      <c r="Q297" s="10"/>
      <c r="S297" s="1"/>
      <c r="T297" s="1"/>
      <c r="U297" s="1"/>
      <c r="V297" s="1"/>
      <c r="W297" s="1"/>
      <c r="X297" s="1"/>
      <c r="Y297" s="1"/>
      <c r="Z297" s="1"/>
    </row>
    <row r="298" spans="1:36" s="1" customFormat="1" hidden="1" x14ac:dyDescent="0.35">
      <c r="A298" s="1" t="s">
        <v>488</v>
      </c>
      <c r="B298" s="1" t="s">
        <v>1028</v>
      </c>
      <c r="C298" s="26" t="s">
        <v>489</v>
      </c>
      <c r="D298" s="26"/>
      <c r="E298" s="26"/>
      <c r="F298" s="26"/>
      <c r="G298" s="26"/>
      <c r="H298" s="1" t="s">
        <v>1077</v>
      </c>
      <c r="I298" s="10"/>
      <c r="J298" s="10"/>
      <c r="M298" s="1">
        <v>52000</v>
      </c>
      <c r="U298" s="1">
        <v>2025</v>
      </c>
      <c r="V298" s="1">
        <v>1</v>
      </c>
      <c r="W298" s="1">
        <v>1</v>
      </c>
      <c r="X298" s="1" t="s">
        <v>78</v>
      </c>
      <c r="Y298" s="1" t="s">
        <v>78</v>
      </c>
      <c r="AB298" s="1">
        <v>0</v>
      </c>
      <c r="AF298" s="1" t="s">
        <v>490</v>
      </c>
    </row>
    <row r="299" spans="1:36" s="46" customFormat="1" ht="18.5" customHeight="1" x14ac:dyDescent="0.35">
      <c r="A299" s="46" t="s">
        <v>488</v>
      </c>
      <c r="B299" s="46" t="s">
        <v>1029</v>
      </c>
      <c r="C299" s="46" t="s">
        <v>491</v>
      </c>
      <c r="H299" s="46" t="s">
        <v>1077</v>
      </c>
      <c r="I299" s="48" t="s">
        <v>1085</v>
      </c>
      <c r="M299" s="51">
        <v>52000</v>
      </c>
      <c r="O299" s="57"/>
      <c r="P299" s="51"/>
      <c r="Q299" s="60"/>
      <c r="U299" s="46">
        <v>2025</v>
      </c>
      <c r="V299" s="46">
        <v>1</v>
      </c>
      <c r="W299" s="46">
        <v>1</v>
      </c>
      <c r="X299" s="46" t="s">
        <v>78</v>
      </c>
      <c r="Y299" s="46" t="s">
        <v>78</v>
      </c>
      <c r="AB299" s="46">
        <v>0</v>
      </c>
      <c r="AF299" s="46" t="s">
        <v>490</v>
      </c>
    </row>
    <row r="300" spans="1:36" s="46" customFormat="1" x14ac:dyDescent="0.35">
      <c r="A300" s="46" t="s">
        <v>488</v>
      </c>
      <c r="B300" s="46" t="s">
        <v>1030</v>
      </c>
      <c r="I300" s="46" t="s">
        <v>1082</v>
      </c>
      <c r="M300" s="51"/>
      <c r="O300" s="57"/>
      <c r="P300" s="51"/>
      <c r="Q300" s="60"/>
    </row>
    <row r="301" spans="1:36" s="1" customFormat="1" hidden="1" x14ac:dyDescent="0.35">
      <c r="A301" s="1" t="s">
        <v>488</v>
      </c>
      <c r="B301" s="1" t="s">
        <v>1031</v>
      </c>
      <c r="C301" s="26"/>
      <c r="D301" s="26"/>
      <c r="E301" s="26"/>
      <c r="F301" s="26"/>
      <c r="G301" s="26"/>
      <c r="I301" s="10"/>
      <c r="J301" s="10"/>
    </row>
    <row r="302" spans="1:36" s="2" customFormat="1" hidden="1" x14ac:dyDescent="0.35">
      <c r="A302" s="2" t="s">
        <v>492</v>
      </c>
      <c r="B302" s="2" t="s">
        <v>1028</v>
      </c>
      <c r="C302" s="26" t="s">
        <v>140</v>
      </c>
      <c r="D302" s="26">
        <v>31</v>
      </c>
      <c r="E302" s="26"/>
      <c r="F302" s="26"/>
      <c r="G302" s="26" t="s">
        <v>38</v>
      </c>
      <c r="H302" s="10" t="s">
        <v>1077</v>
      </c>
      <c r="I302" s="10"/>
      <c r="J302" s="10"/>
      <c r="K302" s="1"/>
      <c r="L302" s="2">
        <v>31</v>
      </c>
      <c r="M302" s="10"/>
      <c r="N302" s="2" t="s">
        <v>493</v>
      </c>
      <c r="P302" s="2" t="s">
        <v>494</v>
      </c>
      <c r="Q302" s="10"/>
      <c r="S302" s="1" t="s">
        <v>45</v>
      </c>
      <c r="T302" s="1"/>
      <c r="U302" s="1">
        <v>2030</v>
      </c>
      <c r="V302" s="1">
        <v>1</v>
      </c>
      <c r="W302" s="1">
        <v>1</v>
      </c>
      <c r="X302" s="1" t="s">
        <v>32</v>
      </c>
      <c r="Y302" s="1" t="s">
        <v>32</v>
      </c>
      <c r="Z302" s="1"/>
      <c r="AB302" s="2">
        <v>0</v>
      </c>
      <c r="AF302" s="2" t="s">
        <v>495</v>
      </c>
    </row>
    <row r="303" spans="1:36" s="10" customFormat="1" x14ac:dyDescent="0.35">
      <c r="A303" s="10" t="s">
        <v>492</v>
      </c>
      <c r="B303" s="10" t="s">
        <v>1029</v>
      </c>
      <c r="C303" s="10" t="s">
        <v>496</v>
      </c>
      <c r="D303" s="10">
        <v>31</v>
      </c>
      <c r="E303" s="10" t="s">
        <v>1100</v>
      </c>
      <c r="F303" s="10" t="s">
        <v>1131</v>
      </c>
      <c r="G303" s="10" t="s">
        <v>38</v>
      </c>
      <c r="H303" s="10" t="s">
        <v>1077</v>
      </c>
      <c r="L303" s="10">
        <v>31</v>
      </c>
      <c r="M303" s="1"/>
      <c r="N303" s="10" t="s">
        <v>493</v>
      </c>
      <c r="O303" s="56"/>
      <c r="P303" s="1" t="s">
        <v>494</v>
      </c>
      <c r="Q303" s="59"/>
      <c r="S303" s="10" t="s">
        <v>45</v>
      </c>
      <c r="U303" s="10">
        <v>2030</v>
      </c>
      <c r="V303" s="10">
        <v>1</v>
      </c>
      <c r="W303" s="10">
        <v>1</v>
      </c>
      <c r="X303" s="10" t="s">
        <v>32</v>
      </c>
      <c r="Y303" s="10" t="s">
        <v>32</v>
      </c>
      <c r="AB303" s="10">
        <v>0</v>
      </c>
      <c r="AF303" s="10" t="s">
        <v>495</v>
      </c>
    </row>
    <row r="304" spans="1:36" s="10" customFormat="1" ht="17" x14ac:dyDescent="0.35">
      <c r="A304" s="10" t="s">
        <v>492</v>
      </c>
      <c r="B304" s="10" t="s">
        <v>1030</v>
      </c>
      <c r="C304" s="23">
        <v>44567</v>
      </c>
      <c r="D304" s="10">
        <v>32</v>
      </c>
      <c r="E304" s="10" t="s">
        <v>1096</v>
      </c>
      <c r="F304" s="10" t="s">
        <v>1137</v>
      </c>
      <c r="G304" s="10" t="s">
        <v>48</v>
      </c>
      <c r="H304" s="10" t="s">
        <v>1077</v>
      </c>
      <c r="L304" s="10">
        <v>32</v>
      </c>
      <c r="M304" s="1"/>
      <c r="N304" s="10">
        <v>6</v>
      </c>
      <c r="O304" s="56"/>
      <c r="P304" s="1" t="s">
        <v>494</v>
      </c>
      <c r="Q304" s="59"/>
      <c r="S304" s="10" t="s">
        <v>45</v>
      </c>
      <c r="U304" s="10">
        <v>2030</v>
      </c>
      <c r="V304" s="10">
        <v>1</v>
      </c>
      <c r="W304" s="10">
        <v>1</v>
      </c>
      <c r="X304" s="10" t="s">
        <v>32</v>
      </c>
      <c r="Y304" s="10" t="s">
        <v>32</v>
      </c>
      <c r="AB304" s="10">
        <v>0</v>
      </c>
      <c r="AF304" s="10" t="s">
        <v>487</v>
      </c>
    </row>
    <row r="305" spans="1:38" s="2" customFormat="1" hidden="1" x14ac:dyDescent="0.35">
      <c r="A305" s="2" t="s">
        <v>492</v>
      </c>
      <c r="B305" s="2" t="s">
        <v>1031</v>
      </c>
      <c r="C305" s="26"/>
      <c r="D305" s="26"/>
      <c r="E305" s="26"/>
      <c r="F305" s="26"/>
      <c r="G305" s="26"/>
      <c r="H305" s="10"/>
      <c r="I305" s="10"/>
      <c r="J305" s="10"/>
      <c r="K305" s="1"/>
      <c r="M305" s="10"/>
      <c r="Q305" s="10"/>
      <c r="S305" s="1"/>
      <c r="T305" s="1"/>
      <c r="U305" s="1"/>
      <c r="V305" s="1"/>
      <c r="W305" s="1"/>
      <c r="X305" s="1"/>
      <c r="Y305" s="1"/>
      <c r="Z305" s="1"/>
    </row>
    <row r="306" spans="1:38" s="2" customFormat="1" hidden="1" x14ac:dyDescent="0.35">
      <c r="A306" s="2" t="s">
        <v>497</v>
      </c>
      <c r="B306" s="2" t="s">
        <v>1028</v>
      </c>
      <c r="C306" s="26">
        <v>42014</v>
      </c>
      <c r="D306" s="26" t="s">
        <v>191</v>
      </c>
      <c r="E306" s="26"/>
      <c r="F306" s="26"/>
      <c r="G306" s="26" t="s">
        <v>498</v>
      </c>
      <c r="H306" s="2" t="s">
        <v>1076</v>
      </c>
      <c r="I306" s="10"/>
      <c r="J306" s="10"/>
      <c r="K306" s="1"/>
      <c r="L306" s="2" t="s">
        <v>191</v>
      </c>
      <c r="M306" s="10"/>
      <c r="P306" s="2" t="s">
        <v>191</v>
      </c>
      <c r="Q306" s="10"/>
      <c r="S306" s="1" t="s">
        <v>45</v>
      </c>
      <c r="T306" s="1"/>
      <c r="U306" s="1">
        <v>2030</v>
      </c>
      <c r="V306" s="1">
        <v>1</v>
      </c>
      <c r="W306" s="1">
        <v>1</v>
      </c>
      <c r="X306" s="1" t="s">
        <v>32</v>
      </c>
      <c r="Y306" s="1" t="s">
        <v>32</v>
      </c>
      <c r="Z306" s="1"/>
      <c r="AB306" s="2">
        <v>0</v>
      </c>
      <c r="AF306" s="2" t="s">
        <v>499</v>
      </c>
    </row>
    <row r="307" spans="1:38" s="1" customFormat="1" x14ac:dyDescent="0.35">
      <c r="A307" s="1" t="s">
        <v>497</v>
      </c>
      <c r="B307" s="1" t="s">
        <v>1029</v>
      </c>
      <c r="C307" s="1" t="s">
        <v>40</v>
      </c>
      <c r="D307" s="1" t="s">
        <v>191</v>
      </c>
      <c r="E307" s="10" t="s">
        <v>1097</v>
      </c>
      <c r="F307" s="10" t="s">
        <v>1097</v>
      </c>
      <c r="G307" s="1" t="s">
        <v>498</v>
      </c>
      <c r="H307" s="1" t="s">
        <v>1076</v>
      </c>
      <c r="L307" s="1" t="s">
        <v>191</v>
      </c>
      <c r="P307" s="1" t="s">
        <v>191</v>
      </c>
      <c r="S307" s="1" t="s">
        <v>45</v>
      </c>
      <c r="U307" s="1">
        <v>2030</v>
      </c>
      <c r="V307" s="1">
        <v>1</v>
      </c>
      <c r="W307" s="1">
        <v>1</v>
      </c>
      <c r="X307" s="1" t="s">
        <v>32</v>
      </c>
      <c r="Y307" s="1" t="s">
        <v>32</v>
      </c>
      <c r="AB307" s="1">
        <v>0</v>
      </c>
      <c r="AF307" s="1" t="s">
        <v>499</v>
      </c>
    </row>
    <row r="308" spans="1:38" s="1" customFormat="1" x14ac:dyDescent="0.35">
      <c r="A308" s="1" t="s">
        <v>497</v>
      </c>
      <c r="B308" s="1" t="s">
        <v>1030</v>
      </c>
      <c r="C308" s="1" t="s">
        <v>500</v>
      </c>
      <c r="D308" s="1">
        <v>16</v>
      </c>
      <c r="E308" s="1" t="s">
        <v>1114</v>
      </c>
      <c r="F308" s="1" t="s">
        <v>1127</v>
      </c>
      <c r="G308" s="1" t="s">
        <v>498</v>
      </c>
      <c r="H308" s="10" t="s">
        <v>1077</v>
      </c>
      <c r="L308" s="1">
        <v>16</v>
      </c>
      <c r="P308" s="1">
        <v>16</v>
      </c>
      <c r="S308" s="1" t="s">
        <v>45</v>
      </c>
      <c r="U308" s="1">
        <v>2030</v>
      </c>
      <c r="V308" s="1">
        <v>1</v>
      </c>
      <c r="W308" s="1">
        <v>1</v>
      </c>
      <c r="X308" s="1" t="s">
        <v>32</v>
      </c>
      <c r="Y308" s="1" t="s">
        <v>32</v>
      </c>
      <c r="AB308" s="1">
        <v>0</v>
      </c>
      <c r="AF308" s="1" t="s">
        <v>501</v>
      </c>
    </row>
    <row r="309" spans="1:38" s="2" customFormat="1" ht="17" hidden="1" x14ac:dyDescent="0.35">
      <c r="A309" s="2" t="s">
        <v>497</v>
      </c>
      <c r="B309" s="2" t="s">
        <v>1031</v>
      </c>
      <c r="C309" s="30" t="s">
        <v>1047</v>
      </c>
      <c r="D309" s="26">
        <v>16</v>
      </c>
      <c r="E309" s="26"/>
      <c r="F309" s="26"/>
      <c r="G309" s="26"/>
      <c r="H309" s="2" t="s">
        <v>1076</v>
      </c>
      <c r="I309" s="14"/>
      <c r="J309" s="14"/>
      <c r="K309" s="18"/>
      <c r="L309" s="2">
        <v>16</v>
      </c>
      <c r="M309" s="10"/>
      <c r="P309" s="2">
        <v>16</v>
      </c>
      <c r="Q309" s="10"/>
      <c r="S309" s="1" t="s">
        <v>30</v>
      </c>
      <c r="T309" s="1"/>
      <c r="U309" s="1">
        <v>2030</v>
      </c>
      <c r="V309" s="1">
        <v>1</v>
      </c>
      <c r="W309" s="1">
        <v>1</v>
      </c>
      <c r="X309" s="1" t="s">
        <v>32</v>
      </c>
      <c r="Y309" s="1" t="s">
        <v>32</v>
      </c>
      <c r="Z309" s="1"/>
      <c r="AB309" s="2">
        <v>0</v>
      </c>
    </row>
    <row r="310" spans="1:38" s="2" customFormat="1" hidden="1" x14ac:dyDescent="0.35">
      <c r="A310" s="2" t="s">
        <v>502</v>
      </c>
      <c r="B310" s="2" t="s">
        <v>1028</v>
      </c>
      <c r="C310" s="26"/>
      <c r="D310" s="26"/>
      <c r="E310" s="26"/>
      <c r="F310" s="26"/>
      <c r="G310" s="26"/>
      <c r="H310" s="10"/>
      <c r="I310" s="10"/>
      <c r="J310" s="10"/>
      <c r="K310" s="1"/>
      <c r="M310" s="10"/>
      <c r="Q310" s="10"/>
      <c r="S310" s="1"/>
      <c r="T310" s="1"/>
      <c r="U310" s="1"/>
      <c r="V310" s="1"/>
      <c r="W310" s="1"/>
      <c r="X310" s="1"/>
      <c r="Y310" s="1"/>
      <c r="Z310" s="1"/>
    </row>
    <row r="311" spans="1:38" s="10" customFormat="1" x14ac:dyDescent="0.35">
      <c r="A311" s="10" t="s">
        <v>502</v>
      </c>
      <c r="B311" s="10" t="s">
        <v>1029</v>
      </c>
      <c r="D311" s="10">
        <v>40</v>
      </c>
      <c r="E311" s="10" t="s">
        <v>1091</v>
      </c>
      <c r="F311" s="10" t="s">
        <v>1091</v>
      </c>
      <c r="G311" s="10" t="s">
        <v>53</v>
      </c>
      <c r="H311" s="10" t="s">
        <v>1078</v>
      </c>
      <c r="L311" s="10">
        <v>40</v>
      </c>
      <c r="M311" s="1"/>
      <c r="N311" s="10">
        <v>40</v>
      </c>
      <c r="O311" s="56"/>
      <c r="P311" s="1"/>
      <c r="Q311" s="59"/>
      <c r="T311" s="10">
        <v>1990</v>
      </c>
      <c r="U311" s="10">
        <v>2030</v>
      </c>
      <c r="V311" s="10">
        <v>0</v>
      </c>
      <c r="W311" s="10">
        <v>0</v>
      </c>
      <c r="X311" s="10" t="s">
        <v>51</v>
      </c>
      <c r="Y311" s="10" t="s">
        <v>51</v>
      </c>
      <c r="AB311" s="10">
        <v>1</v>
      </c>
      <c r="AC311" s="10">
        <v>2050</v>
      </c>
      <c r="AF311" s="10" t="s">
        <v>215</v>
      </c>
      <c r="AL311" s="10" t="s">
        <v>101</v>
      </c>
    </row>
    <row r="312" spans="1:38" s="10" customFormat="1" x14ac:dyDescent="0.35">
      <c r="A312" s="10" t="s">
        <v>502</v>
      </c>
      <c r="B312" s="10" t="s">
        <v>1030</v>
      </c>
      <c r="C312" s="10" t="s">
        <v>102</v>
      </c>
      <c r="D312" s="10" t="s">
        <v>342</v>
      </c>
      <c r="E312" s="10" t="s">
        <v>1091</v>
      </c>
      <c r="F312" s="10" t="s">
        <v>1091</v>
      </c>
      <c r="G312" s="10" t="s">
        <v>53</v>
      </c>
      <c r="H312" s="10" t="s">
        <v>1078</v>
      </c>
      <c r="L312" s="10" t="s">
        <v>342</v>
      </c>
      <c r="M312" s="1"/>
      <c r="N312" s="10" t="s">
        <v>342</v>
      </c>
      <c r="O312" s="56"/>
      <c r="P312" s="1"/>
      <c r="Q312" s="59"/>
      <c r="T312" s="10">
        <v>1990</v>
      </c>
      <c r="U312" s="10">
        <v>2030</v>
      </c>
      <c r="V312" s="10">
        <v>0</v>
      </c>
      <c r="W312" s="10">
        <v>0</v>
      </c>
      <c r="X312" s="10" t="s">
        <v>51</v>
      </c>
      <c r="Y312" s="10" t="s">
        <v>51</v>
      </c>
      <c r="AB312" s="10">
        <v>1</v>
      </c>
      <c r="AC312" s="10">
        <v>2050</v>
      </c>
      <c r="AF312" s="10" t="s">
        <v>215</v>
      </c>
      <c r="AL312" s="10" t="s">
        <v>343</v>
      </c>
    </row>
    <row r="313" spans="1:38" s="2" customFormat="1" hidden="1" x14ac:dyDescent="0.35">
      <c r="A313" s="2" t="s">
        <v>502</v>
      </c>
      <c r="B313" s="2" t="s">
        <v>1031</v>
      </c>
      <c r="C313" s="26"/>
      <c r="D313" s="26"/>
      <c r="E313" s="26"/>
      <c r="F313" s="26"/>
      <c r="G313" s="26"/>
      <c r="H313" s="10"/>
      <c r="I313" s="10"/>
      <c r="J313" s="10"/>
      <c r="K313" s="1"/>
      <c r="M313" s="10"/>
      <c r="Q313" s="10"/>
      <c r="S313" s="1"/>
      <c r="T313" s="1"/>
      <c r="U313" s="1"/>
      <c r="V313" s="1"/>
      <c r="W313" s="1"/>
      <c r="X313" s="1"/>
      <c r="Y313" s="1"/>
      <c r="Z313" s="1"/>
    </row>
    <row r="314" spans="1:38" s="2" customFormat="1" hidden="1" x14ac:dyDescent="0.35">
      <c r="A314" s="2" t="s">
        <v>503</v>
      </c>
      <c r="B314" s="2" t="s">
        <v>1028</v>
      </c>
      <c r="C314" s="26" t="s">
        <v>504</v>
      </c>
      <c r="D314" s="26"/>
      <c r="E314" s="26"/>
      <c r="F314" s="26"/>
      <c r="G314" s="26" t="s">
        <v>53</v>
      </c>
      <c r="H314" s="10"/>
      <c r="I314" s="10"/>
      <c r="J314" s="10"/>
      <c r="K314" s="1"/>
      <c r="M314" s="10"/>
      <c r="Q314" s="10"/>
      <c r="S314" s="1"/>
      <c r="T314" s="1">
        <v>1990</v>
      </c>
      <c r="U314" s="1">
        <v>2030</v>
      </c>
      <c r="V314" s="1">
        <v>0</v>
      </c>
      <c r="W314" s="1">
        <v>0</v>
      </c>
      <c r="X314" s="1" t="s">
        <v>51</v>
      </c>
      <c r="Y314" s="1" t="s">
        <v>51</v>
      </c>
      <c r="Z314" s="1"/>
      <c r="AB314" s="2">
        <v>1</v>
      </c>
      <c r="AC314" s="2">
        <v>2050</v>
      </c>
      <c r="AF314" s="2" t="s">
        <v>215</v>
      </c>
      <c r="AL314" s="2" t="s">
        <v>343</v>
      </c>
    </row>
    <row r="315" spans="1:38" s="10" customFormat="1" x14ac:dyDescent="0.35">
      <c r="A315" s="10" t="s">
        <v>503</v>
      </c>
      <c r="B315" s="10" t="s">
        <v>1029</v>
      </c>
      <c r="C315" s="10" t="s">
        <v>40</v>
      </c>
      <c r="D315" s="10">
        <v>40</v>
      </c>
      <c r="E315" s="10" t="s">
        <v>1091</v>
      </c>
      <c r="F315" s="10" t="s">
        <v>1091</v>
      </c>
      <c r="G315" s="10" t="s">
        <v>53</v>
      </c>
      <c r="H315" s="10" t="s">
        <v>1078</v>
      </c>
      <c r="L315" s="10">
        <v>40</v>
      </c>
      <c r="M315" s="1"/>
      <c r="N315" s="10">
        <v>40</v>
      </c>
      <c r="O315" s="56"/>
      <c r="P315" s="1"/>
      <c r="Q315" s="59"/>
      <c r="T315" s="10">
        <v>1990</v>
      </c>
      <c r="U315" s="10">
        <v>2030</v>
      </c>
      <c r="V315" s="10">
        <v>0</v>
      </c>
      <c r="W315" s="10">
        <v>0</v>
      </c>
      <c r="X315" s="10" t="s">
        <v>51</v>
      </c>
      <c r="Y315" s="10" t="s">
        <v>51</v>
      </c>
      <c r="AB315" s="10">
        <v>1</v>
      </c>
      <c r="AC315" s="10">
        <v>2050</v>
      </c>
      <c r="AF315" s="10" t="s">
        <v>215</v>
      </c>
      <c r="AL315" s="10" t="s">
        <v>101</v>
      </c>
    </row>
    <row r="316" spans="1:38" s="10" customFormat="1" x14ac:dyDescent="0.35">
      <c r="A316" s="10" t="s">
        <v>503</v>
      </c>
      <c r="B316" s="10" t="s">
        <v>1030</v>
      </c>
      <c r="C316" s="10" t="s">
        <v>505</v>
      </c>
      <c r="D316" s="10" t="s">
        <v>342</v>
      </c>
      <c r="E316" s="10" t="s">
        <v>1091</v>
      </c>
      <c r="F316" s="10" t="s">
        <v>1091</v>
      </c>
      <c r="G316" s="10" t="s">
        <v>53</v>
      </c>
      <c r="H316" s="10" t="s">
        <v>1078</v>
      </c>
      <c r="L316" s="10" t="s">
        <v>342</v>
      </c>
      <c r="M316" s="1"/>
      <c r="N316" s="10" t="s">
        <v>342</v>
      </c>
      <c r="O316" s="56"/>
      <c r="P316" s="1"/>
      <c r="Q316" s="59"/>
      <c r="T316" s="10">
        <v>1990</v>
      </c>
      <c r="U316" s="10">
        <v>2030</v>
      </c>
      <c r="V316" s="10">
        <v>0</v>
      </c>
      <c r="W316" s="10">
        <v>0</v>
      </c>
      <c r="X316" s="10" t="s">
        <v>51</v>
      </c>
      <c r="Y316" s="10" t="s">
        <v>51</v>
      </c>
      <c r="AB316" s="10">
        <v>1</v>
      </c>
      <c r="AC316" s="10">
        <v>2050</v>
      </c>
      <c r="AF316" s="10" t="s">
        <v>215</v>
      </c>
      <c r="AL316" s="10" t="s">
        <v>343</v>
      </c>
    </row>
    <row r="317" spans="1:38" s="2" customFormat="1" hidden="1" x14ac:dyDescent="0.35">
      <c r="A317" s="2" t="s">
        <v>503</v>
      </c>
      <c r="B317" s="2" t="s">
        <v>1031</v>
      </c>
      <c r="C317" s="26"/>
      <c r="D317" s="26"/>
      <c r="E317" s="26"/>
      <c r="F317" s="26"/>
      <c r="G317" s="26"/>
      <c r="H317" s="10"/>
      <c r="I317" s="10"/>
      <c r="J317" s="10"/>
      <c r="K317" s="1"/>
      <c r="M317" s="10"/>
      <c r="Q317" s="10"/>
      <c r="S317" s="1"/>
      <c r="T317" s="1"/>
      <c r="U317" s="1"/>
      <c r="V317" s="1"/>
      <c r="W317" s="1"/>
      <c r="X317" s="1"/>
      <c r="Y317" s="1"/>
      <c r="Z317" s="1"/>
    </row>
    <row r="318" spans="1:38" s="2" customFormat="1" hidden="1" x14ac:dyDescent="0.35">
      <c r="A318" s="2" t="s">
        <v>506</v>
      </c>
      <c r="B318" s="2" t="s">
        <v>1028</v>
      </c>
      <c r="C318" s="26" t="s">
        <v>156</v>
      </c>
      <c r="D318" s="26">
        <v>34</v>
      </c>
      <c r="E318" s="26"/>
      <c r="F318" s="26"/>
      <c r="G318" s="26" t="s">
        <v>53</v>
      </c>
      <c r="H318" s="2" t="s">
        <v>1076</v>
      </c>
      <c r="I318" s="10"/>
      <c r="J318" s="10"/>
      <c r="K318" s="1"/>
      <c r="L318" s="2">
        <v>34</v>
      </c>
      <c r="M318" s="10"/>
      <c r="P318" s="2">
        <v>34</v>
      </c>
      <c r="Q318" s="10"/>
      <c r="S318" s="1"/>
      <c r="T318" s="1">
        <v>2005</v>
      </c>
      <c r="U318" s="1">
        <v>2030</v>
      </c>
      <c r="V318" s="1">
        <v>1</v>
      </c>
      <c r="W318" s="1">
        <v>1</v>
      </c>
      <c r="X318" s="1" t="s">
        <v>51</v>
      </c>
      <c r="Y318" s="2" t="s">
        <v>283</v>
      </c>
      <c r="AB318" s="2">
        <v>0</v>
      </c>
      <c r="AF318" s="2" t="s">
        <v>507</v>
      </c>
    </row>
    <row r="319" spans="1:38" s="1" customFormat="1" ht="17" x14ac:dyDescent="0.35">
      <c r="A319" s="1" t="s">
        <v>506</v>
      </c>
      <c r="B319" s="1" t="s">
        <v>1029</v>
      </c>
      <c r="C319" s="53">
        <v>42410</v>
      </c>
      <c r="D319" s="1">
        <v>34</v>
      </c>
      <c r="E319" s="10" t="s">
        <v>1097</v>
      </c>
      <c r="F319" s="10" t="s">
        <v>1097</v>
      </c>
      <c r="G319" s="1" t="s">
        <v>53</v>
      </c>
      <c r="H319" s="1" t="s">
        <v>1076</v>
      </c>
      <c r="L319" s="1">
        <v>34</v>
      </c>
      <c r="P319" s="1">
        <v>34</v>
      </c>
      <c r="T319" s="1">
        <v>2005</v>
      </c>
      <c r="U319" s="1">
        <v>2030</v>
      </c>
      <c r="V319" s="1">
        <v>1</v>
      </c>
      <c r="W319" s="1">
        <v>1</v>
      </c>
      <c r="X319" s="1" t="s">
        <v>51</v>
      </c>
      <c r="Y319" s="1" t="s">
        <v>283</v>
      </c>
      <c r="AB319" s="1">
        <v>0</v>
      </c>
      <c r="AF319" s="1" t="s">
        <v>507</v>
      </c>
    </row>
    <row r="320" spans="1:38" s="1" customFormat="1" x14ac:dyDescent="0.35">
      <c r="A320" s="1" t="s">
        <v>506</v>
      </c>
      <c r="B320" s="1" t="s">
        <v>1030</v>
      </c>
      <c r="C320" s="1" t="s">
        <v>508</v>
      </c>
      <c r="D320" s="1">
        <v>45</v>
      </c>
      <c r="E320" s="1" t="s">
        <v>1138</v>
      </c>
      <c r="F320" s="1" t="s">
        <v>1136</v>
      </c>
      <c r="G320" s="1" t="s">
        <v>53</v>
      </c>
      <c r="H320" s="10" t="s">
        <v>1077</v>
      </c>
      <c r="L320" s="1">
        <v>45</v>
      </c>
      <c r="P320" s="1">
        <v>45</v>
      </c>
      <c r="T320" s="1">
        <v>2005</v>
      </c>
      <c r="U320" s="1">
        <v>2030</v>
      </c>
      <c r="V320" s="1">
        <v>1</v>
      </c>
      <c r="W320" s="1">
        <v>1</v>
      </c>
      <c r="X320" s="1" t="s">
        <v>51</v>
      </c>
      <c r="Y320" s="1" t="s">
        <v>283</v>
      </c>
      <c r="AB320" s="1">
        <v>0</v>
      </c>
      <c r="AF320" s="1" t="s">
        <v>507</v>
      </c>
    </row>
    <row r="321" spans="1:38" s="2" customFormat="1" hidden="1" x14ac:dyDescent="0.35">
      <c r="A321" s="2" t="s">
        <v>506</v>
      </c>
      <c r="B321" s="2" t="s">
        <v>1031</v>
      </c>
      <c r="C321" s="26"/>
      <c r="D321" s="26"/>
      <c r="E321" s="26"/>
      <c r="F321" s="26"/>
      <c r="G321" s="26"/>
      <c r="H321" s="10"/>
      <c r="I321" s="10"/>
      <c r="J321" s="10"/>
      <c r="K321" s="1"/>
      <c r="M321" s="10"/>
      <c r="Q321" s="10"/>
      <c r="S321" s="1"/>
      <c r="T321" s="1"/>
      <c r="U321" s="1"/>
      <c r="V321" s="1"/>
      <c r="W321" s="1"/>
      <c r="X321" s="1"/>
      <c r="Y321" s="1"/>
      <c r="Z321" s="1"/>
    </row>
    <row r="322" spans="1:38" s="2" customFormat="1" hidden="1" x14ac:dyDescent="0.35">
      <c r="A322" s="2" t="s">
        <v>509</v>
      </c>
      <c r="B322" s="2" t="s">
        <v>1028</v>
      </c>
      <c r="C322" s="26" t="s">
        <v>36</v>
      </c>
      <c r="D322" s="26">
        <v>41</v>
      </c>
      <c r="E322" s="26"/>
      <c r="F322" s="26"/>
      <c r="G322" s="26"/>
      <c r="H322" s="10" t="s">
        <v>1077</v>
      </c>
      <c r="I322" s="10"/>
      <c r="J322" s="10"/>
      <c r="K322" s="1"/>
      <c r="L322" s="2">
        <v>41</v>
      </c>
      <c r="M322" s="10"/>
      <c r="N322" s="2">
        <v>29</v>
      </c>
      <c r="P322" s="2">
        <v>12</v>
      </c>
      <c r="Q322" s="10"/>
      <c r="R322" s="2">
        <v>26</v>
      </c>
      <c r="S322" s="1" t="s">
        <v>45</v>
      </c>
      <c r="T322" s="1"/>
      <c r="U322" s="1">
        <v>2030</v>
      </c>
      <c r="V322" s="1">
        <v>1</v>
      </c>
      <c r="W322" s="1">
        <v>1</v>
      </c>
      <c r="X322" s="1" t="s">
        <v>32</v>
      </c>
      <c r="Y322" s="1" t="s">
        <v>32</v>
      </c>
      <c r="Z322" s="1"/>
      <c r="AA322" s="2">
        <v>2020</v>
      </c>
      <c r="AB322" s="2">
        <v>0</v>
      </c>
      <c r="AF322" s="2" t="s">
        <v>510</v>
      </c>
    </row>
    <row r="323" spans="1:38" s="10" customFormat="1" ht="17" x14ac:dyDescent="0.35">
      <c r="A323" s="10" t="s">
        <v>509</v>
      </c>
      <c r="B323" s="10" t="s">
        <v>1029</v>
      </c>
      <c r="C323" s="33">
        <v>42532</v>
      </c>
      <c r="D323" s="10">
        <v>41</v>
      </c>
      <c r="E323" s="10" t="s">
        <v>1096</v>
      </c>
      <c r="F323" s="10" t="s">
        <v>1137</v>
      </c>
      <c r="G323" s="10" t="s">
        <v>38</v>
      </c>
      <c r="H323" s="10" t="s">
        <v>1077</v>
      </c>
      <c r="L323" s="10">
        <v>41</v>
      </c>
      <c r="M323" s="1"/>
      <c r="N323" s="10">
        <v>29</v>
      </c>
      <c r="O323" s="56"/>
      <c r="P323" s="1">
        <v>12</v>
      </c>
      <c r="Q323" s="59"/>
      <c r="R323" s="10">
        <v>26</v>
      </c>
      <c r="S323" s="10" t="s">
        <v>45</v>
      </c>
      <c r="U323" s="10">
        <v>2030</v>
      </c>
      <c r="V323" s="10">
        <v>1</v>
      </c>
      <c r="W323" s="10">
        <v>1</v>
      </c>
      <c r="X323" s="10" t="s">
        <v>32</v>
      </c>
      <c r="Y323" s="10" t="s">
        <v>32</v>
      </c>
      <c r="AA323" s="10">
        <v>2020</v>
      </c>
      <c r="AB323" s="10">
        <v>0</v>
      </c>
      <c r="AF323" s="10" t="s">
        <v>510</v>
      </c>
    </row>
    <row r="324" spans="1:38" s="10" customFormat="1" x14ac:dyDescent="0.35">
      <c r="A324" s="10" t="s">
        <v>509</v>
      </c>
      <c r="B324" s="10" t="s">
        <v>1030</v>
      </c>
      <c r="C324" s="10" t="s">
        <v>511</v>
      </c>
      <c r="D324" s="10">
        <v>43.2</v>
      </c>
      <c r="E324" s="10" t="s">
        <v>1096</v>
      </c>
      <c r="F324" s="10" t="s">
        <v>1137</v>
      </c>
      <c r="G324" s="10" t="s">
        <v>48</v>
      </c>
      <c r="H324" s="10" t="s">
        <v>1077</v>
      </c>
      <c r="L324" s="10">
        <v>43.2</v>
      </c>
      <c r="M324" s="1"/>
      <c r="N324" s="10">
        <v>31.89</v>
      </c>
      <c r="O324" s="56"/>
      <c r="P324" s="1">
        <v>12.13</v>
      </c>
      <c r="Q324" s="59"/>
      <c r="S324" s="10" t="s">
        <v>45</v>
      </c>
      <c r="U324" s="10">
        <v>2030</v>
      </c>
      <c r="V324" s="10">
        <v>1</v>
      </c>
      <c r="W324" s="10">
        <v>1</v>
      </c>
      <c r="X324" s="10" t="s">
        <v>32</v>
      </c>
      <c r="Y324" s="10" t="s">
        <v>32</v>
      </c>
      <c r="AB324" s="10">
        <v>1</v>
      </c>
      <c r="AC324" s="10">
        <v>2060</v>
      </c>
      <c r="AF324" s="10" t="s">
        <v>168</v>
      </c>
    </row>
    <row r="325" spans="1:38" s="2" customFormat="1" ht="17" hidden="1" x14ac:dyDescent="0.35">
      <c r="A325" s="2" t="s">
        <v>509</v>
      </c>
      <c r="B325" s="2" t="s">
        <v>1031</v>
      </c>
      <c r="C325" s="30" t="s">
        <v>1048</v>
      </c>
      <c r="D325" s="26">
        <v>12.75</v>
      </c>
      <c r="E325" s="26"/>
      <c r="F325" s="26"/>
      <c r="G325" s="26"/>
      <c r="H325" s="10"/>
      <c r="I325" s="14"/>
      <c r="J325" s="14"/>
      <c r="K325" s="18"/>
      <c r="L325" s="2">
        <v>12.75</v>
      </c>
      <c r="M325" s="10"/>
      <c r="Q325" s="10"/>
      <c r="S325" s="1" t="s">
        <v>30</v>
      </c>
      <c r="T325" s="1"/>
      <c r="U325" s="1">
        <v>2030</v>
      </c>
      <c r="V325" s="1">
        <v>1</v>
      </c>
      <c r="W325" s="1">
        <v>1</v>
      </c>
      <c r="X325" s="1" t="s">
        <v>32</v>
      </c>
      <c r="Y325" s="1" t="s">
        <v>32</v>
      </c>
      <c r="Z325" s="1"/>
      <c r="AB325" s="2">
        <v>1</v>
      </c>
    </row>
    <row r="326" spans="1:38" s="2" customFormat="1" hidden="1" x14ac:dyDescent="0.35">
      <c r="A326" s="2" t="s">
        <v>512</v>
      </c>
      <c r="B326" s="2" t="s">
        <v>1028</v>
      </c>
      <c r="C326" s="26" t="s">
        <v>513</v>
      </c>
      <c r="D326" s="26">
        <v>4</v>
      </c>
      <c r="E326" s="26"/>
      <c r="F326" s="26"/>
      <c r="G326" s="26" t="s">
        <v>38</v>
      </c>
      <c r="H326" s="10"/>
      <c r="I326" s="10"/>
      <c r="J326" s="10"/>
      <c r="K326" s="1"/>
      <c r="L326" s="2">
        <v>4</v>
      </c>
      <c r="M326" s="10"/>
      <c r="Q326" s="10"/>
      <c r="S326" s="1" t="s">
        <v>45</v>
      </c>
      <c r="T326" s="1"/>
      <c r="U326" s="1">
        <v>2030</v>
      </c>
      <c r="V326" s="1">
        <v>1</v>
      </c>
      <c r="W326" s="1">
        <v>1</v>
      </c>
      <c r="X326" s="1" t="s">
        <v>32</v>
      </c>
      <c r="Y326" s="1" t="s">
        <v>32</v>
      </c>
      <c r="Z326" s="1"/>
      <c r="AB326" s="2">
        <v>0</v>
      </c>
      <c r="AF326" s="2" t="s">
        <v>514</v>
      </c>
    </row>
    <row r="327" spans="1:38" s="46" customFormat="1" x14ac:dyDescent="0.35">
      <c r="A327" s="46" t="s">
        <v>512</v>
      </c>
      <c r="B327" s="46" t="s">
        <v>1029</v>
      </c>
      <c r="I327" s="46" t="s">
        <v>1086</v>
      </c>
      <c r="M327" s="51"/>
      <c r="O327" s="57"/>
      <c r="P327" s="51"/>
      <c r="Q327" s="60"/>
    </row>
    <row r="328" spans="1:38" s="46" customFormat="1" x14ac:dyDescent="0.35">
      <c r="A328" s="46" t="s">
        <v>512</v>
      </c>
      <c r="B328" s="46" t="s">
        <v>1030</v>
      </c>
      <c r="I328" s="46" t="s">
        <v>1086</v>
      </c>
      <c r="M328" s="51"/>
      <c r="O328" s="57"/>
      <c r="P328" s="51"/>
      <c r="Q328" s="60"/>
    </row>
    <row r="329" spans="1:38" s="2" customFormat="1" hidden="1" x14ac:dyDescent="0.35">
      <c r="A329" s="2" t="s">
        <v>512</v>
      </c>
      <c r="B329" s="2" t="s">
        <v>1031</v>
      </c>
      <c r="C329" s="26"/>
      <c r="D329" s="26"/>
      <c r="E329" s="26"/>
      <c r="F329" s="26"/>
      <c r="G329" s="26"/>
      <c r="H329" s="10"/>
      <c r="I329" t="s">
        <v>1086</v>
      </c>
      <c r="J329" s="10"/>
      <c r="K329" s="1"/>
      <c r="M329" s="10"/>
      <c r="Q329" s="10"/>
      <c r="S329" s="1"/>
      <c r="T329" s="1"/>
      <c r="U329" s="1"/>
      <c r="V329" s="1"/>
      <c r="W329" s="1"/>
      <c r="X329" s="1"/>
      <c r="Y329" s="1"/>
      <c r="Z329" s="1"/>
    </row>
    <row r="330" spans="1:38" s="2" customFormat="1" hidden="1" x14ac:dyDescent="0.35">
      <c r="A330" s="2" t="s">
        <v>515</v>
      </c>
      <c r="B330" s="2" t="s">
        <v>1028</v>
      </c>
      <c r="C330" s="26">
        <v>42349</v>
      </c>
      <c r="D330" s="26">
        <v>14</v>
      </c>
      <c r="E330" s="26"/>
      <c r="F330" s="26"/>
      <c r="G330" s="26" t="s">
        <v>517</v>
      </c>
      <c r="H330" s="10" t="s">
        <v>1077</v>
      </c>
      <c r="I330" s="10"/>
      <c r="J330" s="10"/>
      <c r="K330" s="1"/>
      <c r="L330" s="2">
        <v>14</v>
      </c>
      <c r="M330" s="10"/>
      <c r="N330" s="2" t="s">
        <v>516</v>
      </c>
      <c r="P330" s="2">
        <v>1</v>
      </c>
      <c r="Q330" s="10"/>
      <c r="S330" s="1" t="s">
        <v>45</v>
      </c>
      <c r="T330" s="1"/>
      <c r="U330" s="1">
        <v>2030</v>
      </c>
      <c r="V330" s="1">
        <v>1</v>
      </c>
      <c r="W330" s="1">
        <v>1</v>
      </c>
      <c r="X330" s="1" t="s">
        <v>32</v>
      </c>
      <c r="Y330" s="1" t="s">
        <v>32</v>
      </c>
      <c r="Z330" s="1"/>
      <c r="AB330" s="2">
        <v>0</v>
      </c>
      <c r="AF330" s="2" t="s">
        <v>518</v>
      </c>
    </row>
    <row r="331" spans="1:38" s="46" customFormat="1" x14ac:dyDescent="0.35">
      <c r="A331" s="46" t="s">
        <v>515</v>
      </c>
      <c r="B331" s="46" t="s">
        <v>1029</v>
      </c>
      <c r="C331" s="46" t="s">
        <v>519</v>
      </c>
      <c r="I331" s="48" t="s">
        <v>1085</v>
      </c>
      <c r="M331" s="51"/>
      <c r="O331" s="57"/>
      <c r="P331" s="51"/>
      <c r="Q331" s="60"/>
      <c r="V331" s="46">
        <v>1</v>
      </c>
      <c r="W331" s="46">
        <v>1</v>
      </c>
      <c r="X331" s="46" t="s">
        <v>32</v>
      </c>
      <c r="Y331" s="46" t="s">
        <v>32</v>
      </c>
      <c r="AF331" s="46" t="s">
        <v>520</v>
      </c>
    </row>
    <row r="332" spans="1:38" s="46" customFormat="1" x14ac:dyDescent="0.35">
      <c r="A332" s="46" t="s">
        <v>515</v>
      </c>
      <c r="B332" s="46" t="s">
        <v>1030</v>
      </c>
      <c r="I332" s="46" t="s">
        <v>1082</v>
      </c>
      <c r="M332" s="51"/>
      <c r="O332" s="57"/>
      <c r="P332" s="51"/>
      <c r="Q332" s="60"/>
    </row>
    <row r="333" spans="1:38" s="2" customFormat="1" ht="17" hidden="1" x14ac:dyDescent="0.35">
      <c r="A333" s="2" t="s">
        <v>515</v>
      </c>
      <c r="B333" s="2" t="s">
        <v>1031</v>
      </c>
      <c r="C333" s="30" t="s">
        <v>1049</v>
      </c>
      <c r="D333" s="26">
        <v>17</v>
      </c>
      <c r="E333" s="26"/>
      <c r="F333" s="26"/>
      <c r="G333" s="26"/>
      <c r="H333" s="10" t="s">
        <v>1077</v>
      </c>
      <c r="I333" s="14"/>
      <c r="J333" s="14"/>
      <c r="K333" s="18"/>
      <c r="L333" s="2">
        <v>17</v>
      </c>
      <c r="M333" s="10"/>
      <c r="N333" s="2">
        <v>5</v>
      </c>
      <c r="P333" s="2">
        <v>12</v>
      </c>
      <c r="Q333" s="10"/>
      <c r="S333" s="1" t="s">
        <v>30</v>
      </c>
      <c r="T333" s="1"/>
      <c r="U333" s="1">
        <v>2030</v>
      </c>
      <c r="V333" s="1">
        <v>1</v>
      </c>
      <c r="W333" s="1">
        <v>1</v>
      </c>
      <c r="X333" s="1" t="s">
        <v>32</v>
      </c>
      <c r="Y333" s="1" t="s">
        <v>32</v>
      </c>
      <c r="Z333" s="1"/>
      <c r="AB333" s="2">
        <v>0</v>
      </c>
    </row>
    <row r="334" spans="1:38" s="2" customFormat="1" hidden="1" x14ac:dyDescent="0.35">
      <c r="A334" s="2" t="s">
        <v>521</v>
      </c>
      <c r="B334" s="2" t="s">
        <v>1028</v>
      </c>
      <c r="C334" s="26"/>
      <c r="D334" s="26"/>
      <c r="E334" s="26"/>
      <c r="F334" s="26"/>
      <c r="G334" s="26"/>
      <c r="H334" s="10"/>
      <c r="I334" s="10"/>
      <c r="J334" s="10"/>
      <c r="K334" s="1"/>
      <c r="M334" s="10"/>
      <c r="Q334" s="10"/>
      <c r="S334" s="1"/>
      <c r="T334" s="1"/>
      <c r="U334" s="1"/>
      <c r="V334" s="1"/>
      <c r="W334" s="1"/>
      <c r="X334" s="1"/>
      <c r="Y334" s="1"/>
      <c r="Z334" s="1"/>
    </row>
    <row r="335" spans="1:38" s="10" customFormat="1" ht="17" x14ac:dyDescent="0.35">
      <c r="A335" s="10" t="s">
        <v>521</v>
      </c>
      <c r="B335" s="10" t="s">
        <v>1029</v>
      </c>
      <c r="C335" s="33">
        <v>42471</v>
      </c>
      <c r="D335" s="10">
        <v>40</v>
      </c>
      <c r="E335" s="10" t="s">
        <v>1091</v>
      </c>
      <c r="F335" s="10" t="s">
        <v>1091</v>
      </c>
      <c r="G335" s="10" t="s">
        <v>53</v>
      </c>
      <c r="H335" s="10" t="s">
        <v>1078</v>
      </c>
      <c r="L335" s="10">
        <v>40</v>
      </c>
      <c r="M335" s="1"/>
      <c r="N335" s="10">
        <v>40</v>
      </c>
      <c r="O335" s="56"/>
      <c r="P335" s="1"/>
      <c r="Q335" s="59"/>
      <c r="T335" s="10">
        <v>1990</v>
      </c>
      <c r="U335" s="10">
        <v>2030</v>
      </c>
      <c r="V335" s="10">
        <v>0</v>
      </c>
      <c r="W335" s="10">
        <v>0</v>
      </c>
      <c r="X335" s="10" t="s">
        <v>51</v>
      </c>
      <c r="Y335" s="10" t="s">
        <v>51</v>
      </c>
      <c r="AB335" s="10">
        <v>1</v>
      </c>
      <c r="AC335" s="10">
        <v>2050</v>
      </c>
      <c r="AF335" s="10" t="s">
        <v>215</v>
      </c>
      <c r="AL335" s="10" t="s">
        <v>101</v>
      </c>
    </row>
    <row r="336" spans="1:38" s="10" customFormat="1" ht="17" x14ac:dyDescent="0.35">
      <c r="A336" s="10" t="s">
        <v>521</v>
      </c>
      <c r="B336" s="10" t="s">
        <v>1030</v>
      </c>
      <c r="C336" s="14" t="s">
        <v>102</v>
      </c>
      <c r="D336" s="10" t="s">
        <v>342</v>
      </c>
      <c r="E336" s="10" t="s">
        <v>1091</v>
      </c>
      <c r="F336" s="10" t="s">
        <v>1091</v>
      </c>
      <c r="G336" s="10" t="s">
        <v>53</v>
      </c>
      <c r="H336" s="10" t="s">
        <v>1078</v>
      </c>
      <c r="L336" s="10" t="s">
        <v>342</v>
      </c>
      <c r="M336" s="1"/>
      <c r="N336" s="10" t="s">
        <v>342</v>
      </c>
      <c r="O336" s="56"/>
      <c r="P336" s="1"/>
      <c r="Q336" s="59"/>
      <c r="T336" s="10">
        <v>1990</v>
      </c>
      <c r="U336" s="10">
        <v>2030</v>
      </c>
      <c r="V336" s="10">
        <v>0</v>
      </c>
      <c r="W336" s="10">
        <v>0</v>
      </c>
      <c r="X336" s="10" t="s">
        <v>51</v>
      </c>
      <c r="Y336" s="10" t="s">
        <v>51</v>
      </c>
      <c r="AB336" s="10">
        <v>1</v>
      </c>
      <c r="AC336" s="10">
        <v>2050</v>
      </c>
      <c r="AF336" s="10" t="s">
        <v>215</v>
      </c>
      <c r="AL336" s="10" t="s">
        <v>343</v>
      </c>
    </row>
    <row r="337" spans="1:38" s="2" customFormat="1" hidden="1" x14ac:dyDescent="0.35">
      <c r="A337" s="2" t="s">
        <v>521</v>
      </c>
      <c r="B337" s="2" t="s">
        <v>1031</v>
      </c>
      <c r="C337" s="26"/>
      <c r="D337" s="26"/>
      <c r="E337" s="26"/>
      <c r="F337" s="26"/>
      <c r="G337" s="26"/>
      <c r="H337" s="10"/>
      <c r="I337" s="10"/>
      <c r="J337" s="10"/>
      <c r="K337" s="1"/>
      <c r="M337" s="10"/>
      <c r="Q337" s="10"/>
      <c r="S337" s="1"/>
      <c r="T337" s="1"/>
      <c r="U337" s="1"/>
      <c r="V337" s="1"/>
      <c r="W337" s="1"/>
      <c r="X337" s="1"/>
      <c r="Y337" s="1"/>
      <c r="Z337" s="1"/>
    </row>
    <row r="338" spans="1:38" s="2" customFormat="1" hidden="1" x14ac:dyDescent="0.35">
      <c r="A338" s="2" t="s">
        <v>522</v>
      </c>
      <c r="B338" s="2" t="s">
        <v>1028</v>
      </c>
      <c r="C338" s="26" t="s">
        <v>140</v>
      </c>
      <c r="D338" s="26">
        <v>26</v>
      </c>
      <c r="E338" s="26"/>
      <c r="F338" s="26"/>
      <c r="G338" s="26" t="s">
        <v>38</v>
      </c>
      <c r="H338" s="2" t="s">
        <v>1078</v>
      </c>
      <c r="I338" s="10"/>
      <c r="J338" s="10"/>
      <c r="K338" s="1"/>
      <c r="L338" s="2">
        <v>26</v>
      </c>
      <c r="M338" s="10"/>
      <c r="N338" s="2">
        <v>26</v>
      </c>
      <c r="Q338" s="10"/>
      <c r="S338" s="1"/>
      <c r="T338" s="1" t="s">
        <v>523</v>
      </c>
      <c r="U338" s="1" t="s">
        <v>524</v>
      </c>
      <c r="V338" s="1">
        <v>0</v>
      </c>
      <c r="W338" s="1">
        <v>1</v>
      </c>
      <c r="X338" s="1" t="s">
        <v>51</v>
      </c>
      <c r="Y338" s="2" t="s">
        <v>526</v>
      </c>
      <c r="AB338" s="2">
        <v>0</v>
      </c>
      <c r="AF338" s="2" t="s">
        <v>525</v>
      </c>
    </row>
    <row r="339" spans="1:38" s="10" customFormat="1" x14ac:dyDescent="0.35">
      <c r="A339" s="10" t="s">
        <v>522</v>
      </c>
      <c r="B339" s="10" t="s">
        <v>1029</v>
      </c>
      <c r="C339" s="10" t="s">
        <v>527</v>
      </c>
      <c r="D339" s="10">
        <v>26</v>
      </c>
      <c r="E339" s="10" t="s">
        <v>1139</v>
      </c>
      <c r="F339" s="10" t="s">
        <v>1091</v>
      </c>
      <c r="G339" s="10" t="s">
        <v>38</v>
      </c>
      <c r="H339" s="10" t="s">
        <v>1078</v>
      </c>
      <c r="L339" s="10">
        <v>26</v>
      </c>
      <c r="M339" s="1"/>
      <c r="N339" s="10">
        <v>26</v>
      </c>
      <c r="O339" s="56"/>
      <c r="P339" s="1"/>
      <c r="Q339" s="59"/>
      <c r="T339" s="10" t="s">
        <v>523</v>
      </c>
      <c r="U339" s="10" t="s">
        <v>524</v>
      </c>
      <c r="V339" s="10">
        <v>0</v>
      </c>
      <c r="W339" s="10">
        <v>1</v>
      </c>
      <c r="X339" s="10" t="s">
        <v>51</v>
      </c>
      <c r="Y339" s="10" t="s">
        <v>526</v>
      </c>
      <c r="AB339" s="10">
        <v>0</v>
      </c>
      <c r="AF339" s="10" t="s">
        <v>525</v>
      </c>
    </row>
    <row r="340" spans="1:38" s="10" customFormat="1" x14ac:dyDescent="0.35">
      <c r="A340" s="10" t="s">
        <v>522</v>
      </c>
      <c r="B340" s="10" t="s">
        <v>1030</v>
      </c>
      <c r="C340" s="10" t="s">
        <v>528</v>
      </c>
      <c r="D340" s="10">
        <v>27</v>
      </c>
      <c r="E340" s="10" t="s">
        <v>1139</v>
      </c>
      <c r="F340" s="10" t="s">
        <v>1140</v>
      </c>
      <c r="G340" s="10" t="s">
        <v>53</v>
      </c>
      <c r="H340" s="10" t="s">
        <v>1078</v>
      </c>
      <c r="L340" s="10">
        <v>27</v>
      </c>
      <c r="M340" s="1"/>
      <c r="N340" s="10">
        <v>27</v>
      </c>
      <c r="O340" s="56"/>
      <c r="P340" s="1"/>
      <c r="Q340" s="59"/>
      <c r="T340" s="10">
        <v>2015</v>
      </c>
      <c r="U340" s="10" t="s">
        <v>524</v>
      </c>
      <c r="V340" s="10">
        <v>0</v>
      </c>
      <c r="W340" s="10">
        <v>1</v>
      </c>
      <c r="X340" s="10" t="s">
        <v>51</v>
      </c>
      <c r="Y340" s="10" t="s">
        <v>51</v>
      </c>
      <c r="AB340" s="10">
        <v>0</v>
      </c>
      <c r="AC340" s="10">
        <v>2050</v>
      </c>
      <c r="AD340" s="10">
        <v>85</v>
      </c>
      <c r="AF340" s="10" t="s">
        <v>529</v>
      </c>
    </row>
    <row r="341" spans="1:38" s="2" customFormat="1" hidden="1" x14ac:dyDescent="0.35">
      <c r="A341" s="2" t="s">
        <v>522</v>
      </c>
      <c r="B341" s="2" t="s">
        <v>1031</v>
      </c>
      <c r="C341" s="26"/>
      <c r="D341" s="26"/>
      <c r="E341" s="26"/>
      <c r="F341" s="26"/>
      <c r="G341" s="26"/>
      <c r="H341" s="10"/>
      <c r="I341" s="10"/>
      <c r="J341" s="10"/>
      <c r="K341" s="1"/>
      <c r="M341" s="10"/>
      <c r="Q341" s="10"/>
      <c r="S341" s="1"/>
      <c r="T341" s="1"/>
      <c r="U341" s="1"/>
      <c r="V341" s="1"/>
      <c r="W341" s="1"/>
      <c r="X341" s="1"/>
      <c r="Y341" s="1"/>
      <c r="Z341" s="1"/>
    </row>
    <row r="342" spans="1:38" s="2" customFormat="1" hidden="1" x14ac:dyDescent="0.35">
      <c r="A342" s="2" t="s">
        <v>530</v>
      </c>
      <c r="B342" s="2" t="s">
        <v>1028</v>
      </c>
      <c r="C342" s="26"/>
      <c r="D342" s="26"/>
      <c r="E342" s="26"/>
      <c r="F342" s="26"/>
      <c r="G342" s="26"/>
      <c r="H342" s="10"/>
      <c r="I342" s="10"/>
      <c r="J342" s="10"/>
      <c r="K342" s="1"/>
      <c r="M342" s="10"/>
      <c r="Q342" s="10"/>
      <c r="S342" s="1"/>
      <c r="T342" s="1"/>
      <c r="U342" s="1"/>
      <c r="V342" s="1"/>
      <c r="W342" s="1"/>
      <c r="X342" s="1"/>
      <c r="Y342" s="1"/>
      <c r="Z342" s="1"/>
    </row>
    <row r="343" spans="1:38" s="10" customFormat="1" x14ac:dyDescent="0.35">
      <c r="A343" s="10" t="s">
        <v>530</v>
      </c>
      <c r="B343" s="10" t="s">
        <v>1029</v>
      </c>
      <c r="C343" s="10">
        <v>42685</v>
      </c>
      <c r="D343" s="10">
        <v>40</v>
      </c>
      <c r="E343" s="10" t="s">
        <v>1091</v>
      </c>
      <c r="F343" s="10" t="s">
        <v>1091</v>
      </c>
      <c r="G343" s="10" t="s">
        <v>53</v>
      </c>
      <c r="H343" s="10" t="s">
        <v>1078</v>
      </c>
      <c r="L343" s="10">
        <v>40</v>
      </c>
      <c r="M343" s="1"/>
      <c r="N343" s="10">
        <v>40</v>
      </c>
      <c r="O343" s="56"/>
      <c r="P343" s="1"/>
      <c r="Q343" s="59"/>
      <c r="T343" s="10">
        <v>1990</v>
      </c>
      <c r="U343" s="10">
        <v>2030</v>
      </c>
      <c r="V343" s="10">
        <v>0</v>
      </c>
      <c r="W343" s="10">
        <v>0</v>
      </c>
      <c r="X343" s="10" t="s">
        <v>51</v>
      </c>
      <c r="Y343" s="10" t="s">
        <v>51</v>
      </c>
      <c r="AB343" s="10">
        <v>1</v>
      </c>
      <c r="AC343" s="10">
        <v>2050</v>
      </c>
      <c r="AF343" s="10" t="s">
        <v>215</v>
      </c>
      <c r="AL343" s="10" t="s">
        <v>101</v>
      </c>
    </row>
    <row r="344" spans="1:38" s="10" customFormat="1" x14ac:dyDescent="0.35">
      <c r="A344" s="10" t="s">
        <v>530</v>
      </c>
      <c r="B344" s="10" t="s">
        <v>1030</v>
      </c>
      <c r="C344" s="10" t="s">
        <v>505</v>
      </c>
      <c r="D344" s="10" t="s">
        <v>342</v>
      </c>
      <c r="E344" s="10" t="s">
        <v>1091</v>
      </c>
      <c r="F344" s="10" t="s">
        <v>1091</v>
      </c>
      <c r="G344" s="10" t="s">
        <v>53</v>
      </c>
      <c r="H344" s="10" t="s">
        <v>1078</v>
      </c>
      <c r="L344" s="10" t="s">
        <v>342</v>
      </c>
      <c r="M344" s="1"/>
      <c r="N344" s="10" t="s">
        <v>342</v>
      </c>
      <c r="O344" s="56"/>
      <c r="P344" s="1"/>
      <c r="Q344" s="59"/>
      <c r="T344" s="10">
        <v>1990</v>
      </c>
      <c r="U344" s="10">
        <v>2030</v>
      </c>
      <c r="V344" s="10">
        <v>0</v>
      </c>
      <c r="W344" s="10">
        <v>0</v>
      </c>
      <c r="X344" s="10" t="s">
        <v>51</v>
      </c>
      <c r="Y344" s="10" t="s">
        <v>51</v>
      </c>
      <c r="AB344" s="10">
        <v>1</v>
      </c>
      <c r="AC344" s="10">
        <v>2050</v>
      </c>
      <c r="AF344" s="10" t="s">
        <v>215</v>
      </c>
      <c r="AL344" s="10" t="s">
        <v>343</v>
      </c>
    </row>
    <row r="345" spans="1:38" s="2" customFormat="1" hidden="1" x14ac:dyDescent="0.35">
      <c r="A345" s="2" t="s">
        <v>530</v>
      </c>
      <c r="B345" s="2" t="s">
        <v>1031</v>
      </c>
      <c r="C345" s="26"/>
      <c r="D345" s="26"/>
      <c r="E345" s="26"/>
      <c r="F345" s="26"/>
      <c r="G345" s="26"/>
      <c r="H345" s="10"/>
      <c r="I345" s="10"/>
      <c r="J345" s="10"/>
      <c r="K345" s="1"/>
      <c r="M345" s="10"/>
      <c r="Q345" s="10"/>
      <c r="S345" s="1"/>
      <c r="T345" s="1"/>
      <c r="U345" s="1"/>
      <c r="V345" s="1"/>
      <c r="W345" s="1"/>
      <c r="X345" s="1"/>
      <c r="Y345" s="1"/>
      <c r="Z345" s="1"/>
    </row>
    <row r="346" spans="1:38" s="2" customFormat="1" hidden="1" x14ac:dyDescent="0.35">
      <c r="A346" s="2" t="s">
        <v>531</v>
      </c>
      <c r="B346" s="2" t="s">
        <v>1028</v>
      </c>
      <c r="C346" s="26" t="s">
        <v>532</v>
      </c>
      <c r="D346" s="26">
        <v>10</v>
      </c>
      <c r="E346" s="26"/>
      <c r="F346" s="26"/>
      <c r="G346" s="26" t="s">
        <v>533</v>
      </c>
      <c r="H346" s="10" t="s">
        <v>1077</v>
      </c>
      <c r="I346" s="10"/>
      <c r="J346" s="10"/>
      <c r="K346" s="1"/>
      <c r="L346" s="2">
        <v>10</v>
      </c>
      <c r="M346" s="10"/>
      <c r="N346" s="2">
        <v>7.8</v>
      </c>
      <c r="P346" s="2">
        <v>3.2</v>
      </c>
      <c r="Q346" s="10"/>
      <c r="S346" s="1" t="s">
        <v>45</v>
      </c>
      <c r="T346" s="1"/>
      <c r="U346" s="1">
        <v>2030</v>
      </c>
      <c r="V346" s="1">
        <v>1</v>
      </c>
      <c r="W346" s="1">
        <v>1</v>
      </c>
      <c r="X346" s="1" t="s">
        <v>32</v>
      </c>
      <c r="Y346" s="1" t="s">
        <v>32</v>
      </c>
      <c r="Z346" s="1"/>
      <c r="AB346" s="2">
        <v>0</v>
      </c>
      <c r="AF346" s="2" t="s">
        <v>534</v>
      </c>
    </row>
    <row r="347" spans="1:38" s="10" customFormat="1" ht="17" x14ac:dyDescent="0.35">
      <c r="A347" s="10" t="s">
        <v>531</v>
      </c>
      <c r="B347" s="10" t="s">
        <v>1029</v>
      </c>
      <c r="C347" s="33">
        <v>43012</v>
      </c>
      <c r="D347" s="10">
        <v>10</v>
      </c>
      <c r="E347" s="10" t="s">
        <v>1096</v>
      </c>
      <c r="F347" s="10" t="s">
        <v>1141</v>
      </c>
      <c r="G347" s="10" t="s">
        <v>1143</v>
      </c>
      <c r="H347" s="10" t="s">
        <v>1077</v>
      </c>
      <c r="L347" s="10">
        <v>10</v>
      </c>
      <c r="M347" s="1"/>
      <c r="N347" s="10">
        <v>7.8</v>
      </c>
      <c r="O347" s="56"/>
      <c r="P347" s="1">
        <v>3.2</v>
      </c>
      <c r="Q347" s="59"/>
      <c r="S347" s="10" t="s">
        <v>45</v>
      </c>
      <c r="U347" s="10">
        <v>2030</v>
      </c>
      <c r="V347" s="10">
        <v>1</v>
      </c>
      <c r="W347" s="10">
        <v>1</v>
      </c>
      <c r="X347" s="10" t="s">
        <v>32</v>
      </c>
      <c r="Y347" s="10" t="s">
        <v>32</v>
      </c>
      <c r="AB347" s="10">
        <v>0</v>
      </c>
      <c r="AF347" s="10" t="s">
        <v>534</v>
      </c>
    </row>
    <row r="348" spans="1:38" s="10" customFormat="1" ht="17" x14ac:dyDescent="0.35">
      <c r="A348" s="10" t="s">
        <v>531</v>
      </c>
      <c r="B348" s="10" t="s">
        <v>1030</v>
      </c>
      <c r="C348" s="14" t="s">
        <v>1142</v>
      </c>
      <c r="D348" s="10">
        <v>28.5</v>
      </c>
      <c r="E348" s="10" t="s">
        <v>1096</v>
      </c>
      <c r="F348" s="10" t="s">
        <v>1137</v>
      </c>
      <c r="G348" s="10" t="s">
        <v>129</v>
      </c>
      <c r="H348" s="10" t="s">
        <v>1077</v>
      </c>
      <c r="L348" s="10">
        <v>28.5</v>
      </c>
      <c r="M348" s="1"/>
      <c r="N348" s="10">
        <v>25.4</v>
      </c>
      <c r="O348" s="56"/>
      <c r="P348" s="1">
        <v>3.1</v>
      </c>
      <c r="Q348" s="59"/>
      <c r="S348" s="10" t="s">
        <v>45</v>
      </c>
      <c r="U348" s="10">
        <v>2030</v>
      </c>
      <c r="V348" s="10">
        <v>1</v>
      </c>
      <c r="W348" s="10">
        <v>1</v>
      </c>
      <c r="X348" s="10" t="s">
        <v>32</v>
      </c>
      <c r="Y348" s="10" t="s">
        <v>32</v>
      </c>
      <c r="AB348" s="10">
        <v>0</v>
      </c>
      <c r="AF348" s="10" t="s">
        <v>1144</v>
      </c>
    </row>
    <row r="349" spans="1:38" s="2" customFormat="1" hidden="1" x14ac:dyDescent="0.35">
      <c r="A349" s="2" t="s">
        <v>531</v>
      </c>
      <c r="B349" s="2" t="s">
        <v>1031</v>
      </c>
      <c r="C349" s="26"/>
      <c r="D349" s="26">
        <v>28.3</v>
      </c>
      <c r="E349" s="26"/>
      <c r="F349" s="26"/>
      <c r="G349" s="26"/>
      <c r="H349" s="10" t="s">
        <v>1077</v>
      </c>
      <c r="I349" s="10"/>
      <c r="J349" s="10"/>
      <c r="K349" s="1"/>
      <c r="L349" s="2">
        <v>28.3</v>
      </c>
      <c r="M349" s="10"/>
      <c r="N349" s="2">
        <v>16.899999999999999</v>
      </c>
      <c r="P349" s="2">
        <v>11.4</v>
      </c>
      <c r="Q349" s="10"/>
      <c r="S349" s="1"/>
      <c r="T349" s="1">
        <v>2012</v>
      </c>
      <c r="U349" s="1">
        <v>2035</v>
      </c>
      <c r="V349" s="1">
        <v>1</v>
      </c>
      <c r="W349" s="1">
        <v>1</v>
      </c>
      <c r="X349" s="1" t="s">
        <v>32</v>
      </c>
      <c r="Y349" s="1" t="s">
        <v>32</v>
      </c>
      <c r="Z349" s="1"/>
      <c r="AB349" s="2">
        <v>0</v>
      </c>
    </row>
    <row r="350" spans="1:38" s="2" customFormat="1" hidden="1" x14ac:dyDescent="0.35">
      <c r="A350" s="2" t="s">
        <v>535</v>
      </c>
      <c r="B350" s="2" t="s">
        <v>1028</v>
      </c>
      <c r="C350" s="26" t="s">
        <v>536</v>
      </c>
      <c r="D350" s="26">
        <v>26</v>
      </c>
      <c r="E350" s="26"/>
      <c r="F350" s="26"/>
      <c r="G350" s="26" t="s">
        <v>53</v>
      </c>
      <c r="H350" s="2" t="s">
        <v>1078</v>
      </c>
      <c r="I350" s="10"/>
      <c r="J350" s="10"/>
      <c r="K350" s="1"/>
      <c r="L350" s="2">
        <v>26</v>
      </c>
      <c r="M350" s="10"/>
      <c r="N350" s="2">
        <v>26</v>
      </c>
      <c r="Q350" s="10"/>
      <c r="S350" s="1"/>
      <c r="T350" s="1">
        <v>2005</v>
      </c>
      <c r="U350" s="1">
        <v>2030</v>
      </c>
      <c r="V350" s="1">
        <v>0</v>
      </c>
      <c r="W350" s="1">
        <v>0</v>
      </c>
      <c r="X350" s="1" t="s">
        <v>51</v>
      </c>
      <c r="Y350" s="1" t="s">
        <v>51</v>
      </c>
      <c r="Z350" s="1"/>
      <c r="AB350" s="2">
        <v>0</v>
      </c>
      <c r="AF350" s="2" t="s">
        <v>537</v>
      </c>
    </row>
    <row r="351" spans="1:38" s="10" customFormat="1" ht="17" x14ac:dyDescent="0.35">
      <c r="A351" s="10" t="s">
        <v>535</v>
      </c>
      <c r="B351" s="10" t="s">
        <v>1029</v>
      </c>
      <c r="C351" s="33">
        <v>42593</v>
      </c>
      <c r="D351" s="10">
        <v>26</v>
      </c>
      <c r="E351" s="10" t="s">
        <v>1139</v>
      </c>
      <c r="F351" s="10" t="s">
        <v>1091</v>
      </c>
      <c r="G351" s="10" t="s">
        <v>53</v>
      </c>
      <c r="H351" s="10" t="s">
        <v>1078</v>
      </c>
      <c r="L351" s="10">
        <v>26</v>
      </c>
      <c r="M351" s="1"/>
      <c r="N351" s="10">
        <v>26</v>
      </c>
      <c r="O351" s="56"/>
      <c r="P351" s="1"/>
      <c r="Q351" s="59"/>
      <c r="T351" s="10">
        <v>2005</v>
      </c>
      <c r="U351" s="10">
        <v>2030</v>
      </c>
      <c r="V351" s="10">
        <v>0</v>
      </c>
      <c r="W351" s="10">
        <v>0</v>
      </c>
      <c r="X351" s="10" t="s">
        <v>51</v>
      </c>
      <c r="Y351" s="10" t="s">
        <v>51</v>
      </c>
      <c r="AB351" s="10">
        <v>0</v>
      </c>
      <c r="AF351" s="10" t="s">
        <v>537</v>
      </c>
    </row>
    <row r="352" spans="1:38" s="10" customFormat="1" x14ac:dyDescent="0.35">
      <c r="A352" s="10" t="s">
        <v>535</v>
      </c>
      <c r="B352" s="10" t="s">
        <v>1030</v>
      </c>
      <c r="C352" s="10" t="s">
        <v>538</v>
      </c>
      <c r="D352" s="10">
        <v>46</v>
      </c>
      <c r="E352" s="10" t="s">
        <v>1139</v>
      </c>
      <c r="F352" s="10" t="s">
        <v>1091</v>
      </c>
      <c r="G352" s="10" t="s">
        <v>53</v>
      </c>
      <c r="H352" s="10" t="s">
        <v>1078</v>
      </c>
      <c r="L352" s="10">
        <v>46</v>
      </c>
      <c r="M352" s="1"/>
      <c r="N352" s="10">
        <v>46</v>
      </c>
      <c r="O352" s="56"/>
      <c r="P352" s="1"/>
      <c r="Q352" s="59"/>
      <c r="T352" s="10" t="s">
        <v>539</v>
      </c>
      <c r="U352" s="10">
        <v>2030</v>
      </c>
      <c r="V352" s="10">
        <v>0</v>
      </c>
      <c r="W352" s="10">
        <v>0</v>
      </c>
      <c r="X352" s="10" t="s">
        <v>51</v>
      </c>
      <c r="Y352" s="10" t="s">
        <v>51</v>
      </c>
      <c r="AB352" s="10">
        <v>1</v>
      </c>
      <c r="AC352" s="10">
        <v>2050</v>
      </c>
      <c r="AF352" s="10" t="s">
        <v>540</v>
      </c>
    </row>
    <row r="353" spans="1:38" s="2" customFormat="1" hidden="1" x14ac:dyDescent="0.35">
      <c r="A353" s="2" t="s">
        <v>535</v>
      </c>
      <c r="B353" s="2" t="s">
        <v>1031</v>
      </c>
      <c r="C353" s="26" t="s">
        <v>541</v>
      </c>
      <c r="D353" s="26" t="s">
        <v>542</v>
      </c>
      <c r="E353" s="26"/>
      <c r="F353" s="26"/>
      <c r="G353" s="26" t="s">
        <v>53</v>
      </c>
      <c r="H353" s="2" t="s">
        <v>1078</v>
      </c>
      <c r="I353" s="10"/>
      <c r="J353" s="10"/>
      <c r="K353" s="1"/>
      <c r="L353" s="2" t="s">
        <v>542</v>
      </c>
      <c r="M353" s="10"/>
      <c r="N353" s="2" t="s">
        <v>542</v>
      </c>
      <c r="Q353" s="10"/>
      <c r="R353" s="2">
        <v>73</v>
      </c>
      <c r="S353" s="1"/>
      <c r="T353" s="1"/>
      <c r="U353" s="1">
        <v>2035</v>
      </c>
      <c r="V353" s="1">
        <v>0</v>
      </c>
      <c r="W353" s="1">
        <v>0</v>
      </c>
      <c r="X353" s="1" t="s">
        <v>51</v>
      </c>
      <c r="Y353" s="1" t="s">
        <v>51</v>
      </c>
      <c r="Z353" s="1"/>
      <c r="AA353" s="2">
        <v>2040</v>
      </c>
      <c r="AB353" s="2">
        <v>1</v>
      </c>
      <c r="AC353" s="2">
        <v>2050</v>
      </c>
      <c r="AF353" s="2" t="s">
        <v>543</v>
      </c>
    </row>
    <row r="354" spans="1:38" s="2" customFormat="1" hidden="1" x14ac:dyDescent="0.35">
      <c r="A354" s="2" t="s">
        <v>544</v>
      </c>
      <c r="B354" s="2" t="s">
        <v>1028</v>
      </c>
      <c r="C354" s="26" t="s">
        <v>140</v>
      </c>
      <c r="D354" s="26" t="s">
        <v>545</v>
      </c>
      <c r="E354" s="26"/>
      <c r="F354" s="26"/>
      <c r="G354" s="26"/>
      <c r="H354" s="10" t="s">
        <v>1077</v>
      </c>
      <c r="I354" s="10"/>
      <c r="J354" s="10"/>
      <c r="K354" s="1"/>
      <c r="L354" s="2" t="s">
        <v>545</v>
      </c>
      <c r="M354" s="10"/>
      <c r="N354" s="2" t="s">
        <v>546</v>
      </c>
      <c r="P354" s="2">
        <v>12.5</v>
      </c>
      <c r="Q354" s="10"/>
      <c r="S354" s="1" t="s">
        <v>45</v>
      </c>
      <c r="T354" s="1"/>
      <c r="U354" s="1">
        <v>2030</v>
      </c>
      <c r="V354" s="1">
        <v>1</v>
      </c>
      <c r="W354" s="1">
        <v>1</v>
      </c>
      <c r="X354" s="1" t="s">
        <v>32</v>
      </c>
      <c r="Y354" s="1" t="s">
        <v>32</v>
      </c>
      <c r="Z354" s="1"/>
      <c r="AB354" s="2">
        <v>0</v>
      </c>
      <c r="AF354" s="2" t="s">
        <v>547</v>
      </c>
    </row>
    <row r="355" spans="1:38" s="10" customFormat="1" ht="17" x14ac:dyDescent="0.35">
      <c r="A355" s="10" t="s">
        <v>544</v>
      </c>
      <c r="B355" s="10" t="s">
        <v>1029</v>
      </c>
      <c r="C355" s="14" t="s">
        <v>603</v>
      </c>
      <c r="D355" s="34" t="s">
        <v>545</v>
      </c>
      <c r="E355" s="10" t="s">
        <v>1096</v>
      </c>
      <c r="F355" s="10" t="s">
        <v>1145</v>
      </c>
      <c r="G355" s="10" t="s">
        <v>38</v>
      </c>
      <c r="H355" s="10" t="s">
        <v>1077</v>
      </c>
      <c r="L355" s="10" t="s">
        <v>545</v>
      </c>
      <c r="M355" s="1"/>
      <c r="N355" s="10" t="s">
        <v>546</v>
      </c>
      <c r="O355" s="56"/>
      <c r="P355" s="1">
        <v>12.5</v>
      </c>
      <c r="Q355" s="59"/>
      <c r="S355" s="10" t="s">
        <v>45</v>
      </c>
      <c r="U355" s="10">
        <v>2030</v>
      </c>
      <c r="V355" s="10">
        <v>1</v>
      </c>
      <c r="W355" s="10">
        <v>1</v>
      </c>
      <c r="X355" s="10" t="s">
        <v>32</v>
      </c>
      <c r="Y355" s="10" t="s">
        <v>32</v>
      </c>
      <c r="AB355" s="10">
        <v>0</v>
      </c>
      <c r="AF355" s="10" t="s">
        <v>547</v>
      </c>
    </row>
    <row r="356" spans="1:38" s="10" customFormat="1" ht="17" x14ac:dyDescent="0.35">
      <c r="A356" s="10" t="s">
        <v>544</v>
      </c>
      <c r="B356" s="10" t="s">
        <v>1030</v>
      </c>
      <c r="C356" s="33">
        <v>44540</v>
      </c>
      <c r="D356" s="10">
        <v>31</v>
      </c>
      <c r="E356" s="10" t="s">
        <v>1096</v>
      </c>
      <c r="F356" s="10" t="s">
        <v>1146</v>
      </c>
      <c r="G356" s="10" t="s">
        <v>129</v>
      </c>
      <c r="H356" s="10" t="s">
        <v>1077</v>
      </c>
      <c r="L356" s="10">
        <v>31</v>
      </c>
      <c r="M356" s="1"/>
      <c r="N356" s="10" t="s">
        <v>493</v>
      </c>
      <c r="O356" s="56"/>
      <c r="P356" s="1" t="s">
        <v>494</v>
      </c>
      <c r="Q356" s="59"/>
      <c r="S356" s="10" t="s">
        <v>45</v>
      </c>
      <c r="U356" s="10">
        <v>2030</v>
      </c>
      <c r="V356" s="10">
        <v>1</v>
      </c>
      <c r="W356" s="10">
        <v>1</v>
      </c>
      <c r="X356" s="10" t="s">
        <v>32</v>
      </c>
      <c r="Y356" s="10" t="s">
        <v>32</v>
      </c>
      <c r="AB356" s="10">
        <v>0</v>
      </c>
      <c r="AF356" s="10" t="s">
        <v>548</v>
      </c>
    </row>
    <row r="357" spans="1:38" s="2" customFormat="1" ht="17" hidden="1" x14ac:dyDescent="0.35">
      <c r="A357" s="2" t="s">
        <v>544</v>
      </c>
      <c r="B357" s="2" t="s">
        <v>1031</v>
      </c>
      <c r="C357" s="30" t="s">
        <v>1047</v>
      </c>
      <c r="D357" s="26">
        <v>31</v>
      </c>
      <c r="E357" s="26"/>
      <c r="F357" s="26"/>
      <c r="G357" s="26"/>
      <c r="H357" s="10" t="s">
        <v>1077</v>
      </c>
      <c r="I357" s="14"/>
      <c r="J357" s="14"/>
      <c r="K357" s="18"/>
      <c r="L357" s="2">
        <v>31</v>
      </c>
      <c r="M357" s="10"/>
      <c r="N357" s="2">
        <v>5</v>
      </c>
      <c r="P357" s="2">
        <v>26</v>
      </c>
      <c r="Q357" s="10"/>
      <c r="S357" s="1" t="s">
        <v>30</v>
      </c>
      <c r="T357" s="1"/>
      <c r="U357" s="1">
        <v>2030</v>
      </c>
      <c r="V357" s="1">
        <v>1</v>
      </c>
      <c r="W357" s="1">
        <v>1</v>
      </c>
      <c r="X357" s="1" t="s">
        <v>32</v>
      </c>
      <c r="Y357" s="1" t="s">
        <v>32</v>
      </c>
      <c r="Z357" s="1"/>
      <c r="AB357" s="2">
        <v>0</v>
      </c>
    </row>
    <row r="358" spans="1:38" s="2" customFormat="1" hidden="1" x14ac:dyDescent="0.35">
      <c r="A358" s="2" t="s">
        <v>549</v>
      </c>
      <c r="B358" s="2" t="s">
        <v>1028</v>
      </c>
      <c r="C358" s="26" t="s">
        <v>550</v>
      </c>
      <c r="D358" s="26">
        <v>25</v>
      </c>
      <c r="E358" s="26"/>
      <c r="F358" s="26"/>
      <c r="G358" s="26" t="s">
        <v>53</v>
      </c>
      <c r="H358" s="10" t="s">
        <v>1077</v>
      </c>
      <c r="I358" s="10"/>
      <c r="J358" s="10"/>
      <c r="K358" s="1"/>
      <c r="L358" s="2">
        <v>25</v>
      </c>
      <c r="M358" s="10"/>
      <c r="N358" s="2">
        <v>15</v>
      </c>
      <c r="P358" s="2">
        <v>10</v>
      </c>
      <c r="Q358" s="10"/>
      <c r="S358" s="1"/>
      <c r="T358" s="1">
        <v>1990</v>
      </c>
      <c r="U358" s="1">
        <v>2030</v>
      </c>
      <c r="V358" s="1">
        <v>1</v>
      </c>
      <c r="W358" s="1">
        <v>1</v>
      </c>
      <c r="X358" s="1" t="s">
        <v>51</v>
      </c>
      <c r="Y358" s="1" t="s">
        <v>51</v>
      </c>
      <c r="Z358" s="1"/>
      <c r="AB358" s="2">
        <v>0</v>
      </c>
      <c r="AF358" s="2" t="s">
        <v>551</v>
      </c>
    </row>
    <row r="359" spans="1:38" s="10" customFormat="1" ht="17" x14ac:dyDescent="0.35">
      <c r="A359" s="10" t="s">
        <v>549</v>
      </c>
      <c r="B359" s="10" t="s">
        <v>1029</v>
      </c>
      <c r="C359" s="33">
        <v>42533</v>
      </c>
      <c r="D359" s="10">
        <v>25</v>
      </c>
      <c r="E359" s="10" t="s">
        <v>1096</v>
      </c>
      <c r="F359" s="10" t="s">
        <v>1137</v>
      </c>
      <c r="G359" s="10" t="s">
        <v>53</v>
      </c>
      <c r="H359" s="10" t="s">
        <v>1077</v>
      </c>
      <c r="L359" s="10">
        <v>25</v>
      </c>
      <c r="M359" s="1"/>
      <c r="N359" s="10">
        <v>15</v>
      </c>
      <c r="O359" s="56"/>
      <c r="P359" s="1">
        <v>10</v>
      </c>
      <c r="Q359" s="59"/>
      <c r="T359" s="10">
        <v>1990</v>
      </c>
      <c r="U359" s="10">
        <v>2030</v>
      </c>
      <c r="V359" s="10">
        <v>1</v>
      </c>
      <c r="W359" s="10">
        <v>1</v>
      </c>
      <c r="X359" s="10" t="s">
        <v>51</v>
      </c>
      <c r="Y359" s="10" t="s">
        <v>51</v>
      </c>
      <c r="AB359" s="10">
        <v>0</v>
      </c>
      <c r="AF359" s="10" t="s">
        <v>551</v>
      </c>
    </row>
    <row r="360" spans="1:38" s="10" customFormat="1" x14ac:dyDescent="0.35">
      <c r="A360" s="10" t="s">
        <v>549</v>
      </c>
      <c r="B360" s="10" t="s">
        <v>1030</v>
      </c>
      <c r="C360" s="10" t="s">
        <v>552</v>
      </c>
      <c r="D360" s="10">
        <v>25</v>
      </c>
      <c r="E360" s="10" t="s">
        <v>1096</v>
      </c>
      <c r="F360" s="10" t="s">
        <v>1137</v>
      </c>
      <c r="G360" s="10" t="s">
        <v>53</v>
      </c>
      <c r="H360" s="10" t="s">
        <v>1077</v>
      </c>
      <c r="L360" s="10">
        <v>25</v>
      </c>
      <c r="M360" s="1"/>
      <c r="N360" s="10">
        <v>15</v>
      </c>
      <c r="O360" s="56"/>
      <c r="P360" s="1">
        <v>10</v>
      </c>
      <c r="Q360" s="59"/>
      <c r="T360" s="10">
        <v>1990</v>
      </c>
      <c r="U360" s="10">
        <v>2030</v>
      </c>
      <c r="V360" s="10">
        <v>1</v>
      </c>
      <c r="W360" s="10">
        <v>1</v>
      </c>
      <c r="X360" s="10" t="s">
        <v>51</v>
      </c>
      <c r="Y360" s="10" t="s">
        <v>51</v>
      </c>
      <c r="AB360" s="10">
        <v>0</v>
      </c>
      <c r="AF360" s="10" t="s">
        <v>551</v>
      </c>
    </row>
    <row r="361" spans="1:38" s="2" customFormat="1" ht="17" hidden="1" x14ac:dyDescent="0.35">
      <c r="A361" s="2" t="s">
        <v>549</v>
      </c>
      <c r="B361" s="2" t="s">
        <v>1031</v>
      </c>
      <c r="C361" s="30" t="s">
        <v>1050</v>
      </c>
      <c r="D361" s="26">
        <v>25</v>
      </c>
      <c r="E361" s="26"/>
      <c r="F361" s="26"/>
      <c r="G361" s="26"/>
      <c r="H361" s="10" t="s">
        <v>1077</v>
      </c>
      <c r="I361" s="14"/>
      <c r="J361" s="14"/>
      <c r="K361" s="18"/>
      <c r="L361" s="2">
        <v>25</v>
      </c>
      <c r="M361" s="10"/>
      <c r="N361" s="2">
        <v>17</v>
      </c>
      <c r="P361" s="2">
        <v>8</v>
      </c>
      <c r="Q361" s="10"/>
      <c r="S361" s="1"/>
      <c r="T361" s="1">
        <v>1990</v>
      </c>
      <c r="U361" s="1">
        <v>2030</v>
      </c>
      <c r="V361" s="1">
        <v>1</v>
      </c>
      <c r="W361" s="1">
        <v>1</v>
      </c>
      <c r="X361" s="1" t="s">
        <v>51</v>
      </c>
      <c r="Y361" s="1" t="s">
        <v>51</v>
      </c>
      <c r="Z361" s="1"/>
      <c r="AB361" s="2">
        <v>0</v>
      </c>
    </row>
    <row r="362" spans="1:38" s="2" customFormat="1" ht="1" hidden="1" customHeight="1" x14ac:dyDescent="0.35">
      <c r="A362" s="2" t="s">
        <v>553</v>
      </c>
      <c r="B362" s="2" t="s">
        <v>1028</v>
      </c>
      <c r="C362" s="26" t="s">
        <v>554</v>
      </c>
      <c r="D362" s="26">
        <v>30</v>
      </c>
      <c r="E362" s="26"/>
      <c r="F362" s="26"/>
      <c r="G362" s="26"/>
      <c r="H362" s="10" t="s">
        <v>1077</v>
      </c>
      <c r="I362" s="10"/>
      <c r="J362" s="10"/>
      <c r="K362" s="1"/>
      <c r="L362" s="2">
        <v>30</v>
      </c>
      <c r="M362" s="10"/>
      <c r="Q362" s="10"/>
      <c r="S362" s="1" t="s">
        <v>45</v>
      </c>
      <c r="T362" s="1"/>
      <c r="U362" s="1">
        <v>2030</v>
      </c>
      <c r="V362" s="1">
        <v>1</v>
      </c>
      <c r="W362" s="1">
        <v>1</v>
      </c>
      <c r="X362" s="1" t="s">
        <v>32</v>
      </c>
      <c r="Y362" s="1" t="s">
        <v>32</v>
      </c>
      <c r="Z362" s="1"/>
      <c r="AB362" s="2">
        <v>0</v>
      </c>
      <c r="AF362" s="2" t="s">
        <v>555</v>
      </c>
    </row>
    <row r="363" spans="1:38" s="10" customFormat="1" x14ac:dyDescent="0.35">
      <c r="A363" s="10" t="s">
        <v>553</v>
      </c>
      <c r="B363" s="10" t="s">
        <v>1029</v>
      </c>
      <c r="C363" s="10" t="s">
        <v>556</v>
      </c>
      <c r="D363" s="34">
        <v>30</v>
      </c>
      <c r="E363" s="10" t="s">
        <v>1147</v>
      </c>
      <c r="F363" s="10" t="s">
        <v>1148</v>
      </c>
      <c r="G363" s="10" t="s">
        <v>38</v>
      </c>
      <c r="H363" s="10" t="s">
        <v>1077</v>
      </c>
      <c r="L363" s="10">
        <v>30</v>
      </c>
      <c r="M363" s="1"/>
      <c r="O363" s="56"/>
      <c r="P363" s="1"/>
      <c r="Q363" s="59"/>
      <c r="S363" s="10" t="s">
        <v>45</v>
      </c>
      <c r="U363" s="10">
        <v>2030</v>
      </c>
      <c r="V363" s="10">
        <v>1</v>
      </c>
      <c r="W363" s="10">
        <v>1</v>
      </c>
      <c r="X363" s="10" t="s">
        <v>32</v>
      </c>
      <c r="Y363" s="10" t="s">
        <v>32</v>
      </c>
      <c r="AB363" s="10">
        <v>0</v>
      </c>
      <c r="AF363" s="10" t="s">
        <v>555</v>
      </c>
    </row>
    <row r="364" spans="1:38" s="10" customFormat="1" x14ac:dyDescent="0.35">
      <c r="A364" s="10" t="s">
        <v>553</v>
      </c>
      <c r="B364" s="10" t="s">
        <v>1030</v>
      </c>
      <c r="C364" s="10" t="s">
        <v>557</v>
      </c>
      <c r="D364" s="34" t="s">
        <v>558</v>
      </c>
      <c r="E364" s="10" t="s">
        <v>1147</v>
      </c>
      <c r="F364" s="10" t="s">
        <v>1148</v>
      </c>
      <c r="G364" s="10" t="s">
        <v>53</v>
      </c>
      <c r="H364" s="10" t="s">
        <v>1077</v>
      </c>
      <c r="L364" s="10" t="s">
        <v>558</v>
      </c>
      <c r="M364" s="1"/>
      <c r="O364" s="56"/>
      <c r="P364" s="1"/>
      <c r="Q364" s="59"/>
      <c r="S364" s="10" t="s">
        <v>45</v>
      </c>
      <c r="U364" s="10">
        <v>2030</v>
      </c>
      <c r="V364" s="10">
        <v>1</v>
      </c>
      <c r="W364" s="10">
        <v>1</v>
      </c>
      <c r="X364" s="10" t="s">
        <v>32</v>
      </c>
      <c r="Y364" s="10" t="s">
        <v>32</v>
      </c>
      <c r="AB364" s="10">
        <v>0</v>
      </c>
      <c r="AF364" s="10" t="s">
        <v>555</v>
      </c>
    </row>
    <row r="365" spans="1:38" s="2" customFormat="1" ht="17" hidden="1" x14ac:dyDescent="0.35">
      <c r="A365" s="2" t="s">
        <v>553</v>
      </c>
      <c r="B365" s="2" t="s">
        <v>1031</v>
      </c>
      <c r="C365" s="30" t="s">
        <v>1051</v>
      </c>
      <c r="D365" s="26"/>
      <c r="E365" s="26"/>
      <c r="F365" s="26"/>
      <c r="G365" s="26"/>
      <c r="H365" s="10" t="s">
        <v>1077</v>
      </c>
      <c r="I365" s="14"/>
      <c r="J365" s="14"/>
      <c r="K365" s="18"/>
      <c r="M365" s="11">
        <v>75000</v>
      </c>
      <c r="O365" s="2">
        <v>60000</v>
      </c>
      <c r="Q365" s="10">
        <v>15000</v>
      </c>
      <c r="S365" s="1" t="s">
        <v>30</v>
      </c>
      <c r="T365" s="1"/>
      <c r="U365" s="1">
        <v>2030</v>
      </c>
      <c r="V365" s="1">
        <v>1</v>
      </c>
      <c r="W365" s="1">
        <v>1</v>
      </c>
      <c r="X365" s="1" t="s">
        <v>32</v>
      </c>
      <c r="Y365" s="1" t="s">
        <v>32</v>
      </c>
      <c r="Z365" s="1"/>
      <c r="AB365" s="2">
        <v>0</v>
      </c>
    </row>
    <row r="366" spans="1:38" s="2" customFormat="1" hidden="1" x14ac:dyDescent="0.35">
      <c r="A366" s="2" t="s">
        <v>559</v>
      </c>
      <c r="B366" s="2" t="s">
        <v>1028</v>
      </c>
      <c r="C366" s="26" t="s">
        <v>560</v>
      </c>
      <c r="D366" s="26">
        <v>12.8</v>
      </c>
      <c r="E366" s="26"/>
      <c r="F366" s="26"/>
      <c r="G366" s="26" t="s">
        <v>129</v>
      </c>
      <c r="H366" s="10" t="s">
        <v>1077</v>
      </c>
      <c r="I366" s="10"/>
      <c r="J366" s="10"/>
      <c r="K366" s="1"/>
      <c r="L366" s="2">
        <v>12.8</v>
      </c>
      <c r="M366" s="10"/>
      <c r="Q366" s="10"/>
      <c r="R366" s="2" t="s">
        <v>561</v>
      </c>
      <c r="S366" s="1" t="s">
        <v>45</v>
      </c>
      <c r="T366" s="1"/>
      <c r="U366" s="1">
        <v>2030</v>
      </c>
      <c r="V366" s="1">
        <v>1</v>
      </c>
      <c r="W366" s="1">
        <v>1</v>
      </c>
      <c r="X366" s="1" t="s">
        <v>32</v>
      </c>
      <c r="Y366" s="1" t="s">
        <v>32</v>
      </c>
      <c r="Z366" s="1"/>
      <c r="AA366" s="2">
        <v>2025</v>
      </c>
      <c r="AB366" s="2">
        <v>0</v>
      </c>
      <c r="AF366" s="2" t="s">
        <v>562</v>
      </c>
      <c r="AL366" s="2" t="s">
        <v>563</v>
      </c>
    </row>
    <row r="367" spans="1:38" s="10" customFormat="1" x14ac:dyDescent="0.35">
      <c r="A367" s="10" t="s">
        <v>559</v>
      </c>
      <c r="B367" s="10" t="s">
        <v>1029</v>
      </c>
      <c r="C367" s="10" t="s">
        <v>40</v>
      </c>
      <c r="D367" s="10">
        <v>12.8</v>
      </c>
      <c r="E367" s="10" t="s">
        <v>1120</v>
      </c>
      <c r="F367" s="10" t="s">
        <v>1149</v>
      </c>
      <c r="G367" s="10" t="s">
        <v>129</v>
      </c>
      <c r="H367" s="10" t="s">
        <v>1077</v>
      </c>
      <c r="L367" s="10">
        <v>12.8</v>
      </c>
      <c r="M367" s="1"/>
      <c r="O367" s="56"/>
      <c r="P367" s="1"/>
      <c r="Q367" s="59"/>
      <c r="R367" s="10" t="s">
        <v>561</v>
      </c>
      <c r="S367" s="10" t="s">
        <v>45</v>
      </c>
      <c r="U367" s="10">
        <v>2030</v>
      </c>
      <c r="V367" s="10">
        <v>1</v>
      </c>
      <c r="W367" s="10">
        <v>1</v>
      </c>
      <c r="X367" s="10" t="s">
        <v>32</v>
      </c>
      <c r="Y367" s="10" t="s">
        <v>32</v>
      </c>
      <c r="AA367" s="10">
        <v>2025</v>
      </c>
      <c r="AB367" s="10">
        <v>0</v>
      </c>
      <c r="AF367" s="10" t="s">
        <v>562</v>
      </c>
    </row>
    <row r="368" spans="1:38" s="10" customFormat="1" ht="17" x14ac:dyDescent="0.35">
      <c r="A368" s="10" t="s">
        <v>559</v>
      </c>
      <c r="B368" s="10" t="s">
        <v>1030</v>
      </c>
      <c r="C368" s="33">
        <v>44960</v>
      </c>
      <c r="D368" s="10">
        <v>23.8</v>
      </c>
      <c r="E368" s="10" t="s">
        <v>1120</v>
      </c>
      <c r="F368" s="10" t="s">
        <v>1137</v>
      </c>
      <c r="G368" s="10" t="s">
        <v>129</v>
      </c>
      <c r="H368" s="10" t="s">
        <v>1077</v>
      </c>
      <c r="L368" s="10">
        <v>23.8</v>
      </c>
      <c r="M368" s="1"/>
      <c r="O368" s="56"/>
      <c r="P368" s="1"/>
      <c r="Q368" s="59"/>
      <c r="R368" s="10" t="s">
        <v>564</v>
      </c>
      <c r="S368" s="10" t="s">
        <v>45</v>
      </c>
      <c r="U368" s="10">
        <v>2030</v>
      </c>
      <c r="V368" s="10">
        <v>1</v>
      </c>
      <c r="W368" s="10">
        <v>1</v>
      </c>
      <c r="X368" s="10" t="s">
        <v>32</v>
      </c>
      <c r="Y368" s="10" t="s">
        <v>32</v>
      </c>
      <c r="AA368" s="10">
        <v>2025</v>
      </c>
      <c r="AB368" s="10">
        <v>0</v>
      </c>
      <c r="AF368" s="10" t="s">
        <v>565</v>
      </c>
    </row>
    <row r="369" spans="1:38" s="2" customFormat="1" hidden="1" x14ac:dyDescent="0.35">
      <c r="A369" s="2" t="s">
        <v>559</v>
      </c>
      <c r="B369" s="2" t="s">
        <v>1031</v>
      </c>
      <c r="C369" s="26"/>
      <c r="D369" s="26"/>
      <c r="E369" s="26"/>
      <c r="F369" s="26"/>
      <c r="G369" s="26"/>
      <c r="H369" s="10"/>
      <c r="I369" s="10"/>
      <c r="J369" s="10"/>
      <c r="K369" s="1"/>
      <c r="M369" s="10"/>
      <c r="Q369" s="10"/>
      <c r="S369" s="1"/>
      <c r="T369" s="1"/>
      <c r="U369" s="1"/>
      <c r="V369" s="1"/>
      <c r="W369" s="1"/>
      <c r="X369" s="1"/>
      <c r="Y369" s="1"/>
      <c r="Z369" s="1"/>
    </row>
    <row r="370" spans="1:38" s="2" customFormat="1" hidden="1" x14ac:dyDescent="0.35">
      <c r="A370" s="2" t="s">
        <v>566</v>
      </c>
      <c r="B370" s="2" t="s">
        <v>1028</v>
      </c>
      <c r="C370" s="26" t="s">
        <v>567</v>
      </c>
      <c r="D370" s="26"/>
      <c r="E370" s="26"/>
      <c r="F370" s="26"/>
      <c r="G370" s="26"/>
      <c r="H370" s="10"/>
      <c r="I370" s="10"/>
      <c r="J370" s="10"/>
      <c r="K370" s="1"/>
      <c r="M370" s="10"/>
      <c r="Q370" s="10"/>
      <c r="S370" s="1"/>
      <c r="T370" s="1"/>
      <c r="U370" s="1"/>
      <c r="V370" s="1">
        <v>1</v>
      </c>
      <c r="W370" s="1">
        <v>1</v>
      </c>
      <c r="X370" s="1"/>
      <c r="Y370" s="1"/>
      <c r="Z370" s="1"/>
      <c r="AB370" s="2">
        <v>0</v>
      </c>
      <c r="AF370" s="2" t="s">
        <v>568</v>
      </c>
    </row>
    <row r="371" spans="1:38" s="10" customFormat="1" x14ac:dyDescent="0.35">
      <c r="A371" s="10" t="s">
        <v>566</v>
      </c>
      <c r="B371" s="10" t="s">
        <v>1029</v>
      </c>
      <c r="C371" s="10" t="s">
        <v>569</v>
      </c>
      <c r="I371" s="22" t="s">
        <v>1085</v>
      </c>
      <c r="M371" s="1"/>
      <c r="O371" s="56"/>
      <c r="P371" s="1"/>
      <c r="Q371" s="59"/>
      <c r="V371" s="10">
        <v>1</v>
      </c>
      <c r="W371" s="10">
        <v>1</v>
      </c>
      <c r="AF371" s="10" t="s">
        <v>568</v>
      </c>
    </row>
    <row r="372" spans="1:38" s="10" customFormat="1" ht="17.5" x14ac:dyDescent="0.35">
      <c r="A372" s="10" t="s">
        <v>566</v>
      </c>
      <c r="B372" s="10" t="s">
        <v>1030</v>
      </c>
      <c r="C372" s="33">
        <v>44540</v>
      </c>
      <c r="D372" s="10">
        <v>7.4</v>
      </c>
      <c r="E372" s="10" t="s">
        <v>1140</v>
      </c>
      <c r="F372" s="10" t="s">
        <v>1140</v>
      </c>
      <c r="G372" s="12" t="s">
        <v>1128</v>
      </c>
      <c r="H372" s="10" t="s">
        <v>1078</v>
      </c>
      <c r="L372" s="10">
        <v>7.4</v>
      </c>
      <c r="M372" s="1"/>
      <c r="N372" s="10">
        <v>7.4</v>
      </c>
      <c r="O372" s="56"/>
      <c r="P372" s="1"/>
      <c r="Q372" s="59"/>
      <c r="S372" s="10" t="s">
        <v>45</v>
      </c>
      <c r="U372" s="10">
        <v>2030</v>
      </c>
      <c r="V372" s="10">
        <v>1</v>
      </c>
      <c r="W372" s="10">
        <v>1</v>
      </c>
      <c r="X372" s="10" t="s">
        <v>32</v>
      </c>
      <c r="Y372" s="10" t="s">
        <v>32</v>
      </c>
      <c r="AB372" s="10">
        <v>0</v>
      </c>
      <c r="AF372" s="10" t="s">
        <v>570</v>
      </c>
    </row>
    <row r="373" spans="1:38" s="2" customFormat="1" hidden="1" x14ac:dyDescent="0.35">
      <c r="A373" s="2" t="s">
        <v>566</v>
      </c>
      <c r="B373" s="2" t="s">
        <v>1031</v>
      </c>
      <c r="C373" s="26"/>
      <c r="D373" s="26"/>
      <c r="E373" s="26"/>
      <c r="F373" s="26"/>
      <c r="G373" s="26"/>
      <c r="H373" s="10"/>
      <c r="I373" s="10"/>
      <c r="J373" s="10"/>
      <c r="K373" s="1"/>
      <c r="M373" s="10"/>
      <c r="Q373" s="10"/>
      <c r="S373" s="1"/>
      <c r="T373" s="1"/>
      <c r="U373" s="1"/>
      <c r="V373" s="1"/>
      <c r="W373" s="1"/>
      <c r="X373" s="1"/>
      <c r="Y373" s="1"/>
      <c r="Z373" s="1"/>
    </row>
    <row r="374" spans="1:38" s="2" customFormat="1" hidden="1" x14ac:dyDescent="0.35">
      <c r="A374" s="2" t="s">
        <v>571</v>
      </c>
      <c r="B374" s="2" t="s">
        <v>1028</v>
      </c>
      <c r="C374" s="26">
        <v>44449</v>
      </c>
      <c r="D374" s="27">
        <v>29.95</v>
      </c>
      <c r="E374" s="27"/>
      <c r="F374" s="27"/>
      <c r="G374" s="26" t="s">
        <v>467</v>
      </c>
      <c r="H374" s="10" t="s">
        <v>1077</v>
      </c>
      <c r="I374" s="10"/>
      <c r="J374" s="10" t="s">
        <v>1089</v>
      </c>
      <c r="K374" s="1"/>
      <c r="L374" s="7">
        <v>29.95</v>
      </c>
      <c r="M374" s="10"/>
      <c r="N374" s="7">
        <v>12.62</v>
      </c>
      <c r="P374" s="2">
        <v>17.329999999999998</v>
      </c>
      <c r="Q374" s="10"/>
      <c r="R374" s="2" t="s">
        <v>572</v>
      </c>
      <c r="S374" s="1" t="s">
        <v>45</v>
      </c>
      <c r="T374" s="1"/>
      <c r="U374" s="1">
        <v>2030</v>
      </c>
      <c r="V374" s="1">
        <v>1</v>
      </c>
      <c r="W374" s="1">
        <v>1</v>
      </c>
      <c r="X374" s="1" t="s">
        <v>32</v>
      </c>
      <c r="Y374" s="1" t="s">
        <v>32</v>
      </c>
      <c r="Z374" s="1"/>
      <c r="AA374" s="2">
        <v>2025</v>
      </c>
      <c r="AB374" s="2">
        <v>0</v>
      </c>
      <c r="AF374" s="2" t="s">
        <v>573</v>
      </c>
    </row>
    <row r="375" spans="1:38" s="10" customFormat="1" x14ac:dyDescent="0.35">
      <c r="A375" s="10" t="s">
        <v>571</v>
      </c>
      <c r="B375" s="10" t="s">
        <v>1029</v>
      </c>
      <c r="C375" s="10" t="s">
        <v>574</v>
      </c>
      <c r="D375" s="38">
        <v>29.95</v>
      </c>
      <c r="E375" s="38" t="s">
        <v>1096</v>
      </c>
      <c r="F375" s="38" t="s">
        <v>1141</v>
      </c>
      <c r="G375" s="10" t="s">
        <v>129</v>
      </c>
      <c r="H375" s="10" t="s">
        <v>1077</v>
      </c>
      <c r="L375" s="38">
        <v>29.95</v>
      </c>
      <c r="M375" s="1"/>
      <c r="N375" s="10">
        <v>12.62</v>
      </c>
      <c r="O375" s="56"/>
      <c r="P375" s="1">
        <v>17.329999999999998</v>
      </c>
      <c r="Q375" s="59"/>
      <c r="S375" s="10" t="s">
        <v>45</v>
      </c>
      <c r="U375" s="10">
        <v>2030</v>
      </c>
      <c r="V375" s="10">
        <v>1</v>
      </c>
      <c r="W375" s="10">
        <v>1</v>
      </c>
      <c r="X375" s="10" t="s">
        <v>32</v>
      </c>
      <c r="Y375" s="10" t="s">
        <v>32</v>
      </c>
      <c r="AB375" s="10">
        <v>0</v>
      </c>
      <c r="AC375" s="10">
        <v>2050</v>
      </c>
      <c r="AD375" s="10" t="s">
        <v>575</v>
      </c>
      <c r="AF375" s="10" t="s">
        <v>576</v>
      </c>
      <c r="AJ375" s="10" t="s">
        <v>577</v>
      </c>
    </row>
    <row r="376" spans="1:38" s="10" customFormat="1" ht="17" x14ac:dyDescent="0.35">
      <c r="A376" s="10" t="s">
        <v>571</v>
      </c>
      <c r="B376" s="10" t="s">
        <v>1030</v>
      </c>
      <c r="C376" s="33">
        <v>44449</v>
      </c>
      <c r="D376" s="38">
        <v>43.62</v>
      </c>
      <c r="E376" s="38" t="s">
        <v>1096</v>
      </c>
      <c r="F376" s="38" t="s">
        <v>1141</v>
      </c>
      <c r="G376" s="10" t="s">
        <v>53</v>
      </c>
      <c r="H376" s="10" t="s">
        <v>1077</v>
      </c>
      <c r="L376" s="38">
        <v>43.62</v>
      </c>
      <c r="M376" s="1"/>
      <c r="N376" s="38">
        <v>15.97</v>
      </c>
      <c r="O376" s="56"/>
      <c r="P376" s="1">
        <v>27.65</v>
      </c>
      <c r="Q376" s="59"/>
      <c r="R376" s="10" t="s">
        <v>572</v>
      </c>
      <c r="S376" s="10" t="s">
        <v>45</v>
      </c>
      <c r="U376" s="10">
        <v>2030</v>
      </c>
      <c r="V376" s="10">
        <v>1</v>
      </c>
      <c r="W376" s="10">
        <v>1</v>
      </c>
      <c r="X376" s="10" t="s">
        <v>32</v>
      </c>
      <c r="Y376" s="10" t="s">
        <v>32</v>
      </c>
      <c r="AA376" s="10">
        <v>2025</v>
      </c>
      <c r="AB376" s="10">
        <v>0</v>
      </c>
      <c r="AF376" s="10" t="s">
        <v>578</v>
      </c>
      <c r="AJ376" s="10" t="s">
        <v>577</v>
      </c>
    </row>
    <row r="377" spans="1:38" s="2" customFormat="1" hidden="1" x14ac:dyDescent="0.35">
      <c r="A377" s="2" t="s">
        <v>571</v>
      </c>
      <c r="B377" s="2" t="s">
        <v>1031</v>
      </c>
      <c r="C377" s="26"/>
      <c r="D377" s="26">
        <v>30</v>
      </c>
      <c r="E377" s="26"/>
      <c r="F377" s="26"/>
      <c r="G377" s="26"/>
      <c r="H377" s="10" t="s">
        <v>1077</v>
      </c>
      <c r="I377" s="10"/>
      <c r="J377" s="10"/>
      <c r="K377" s="1"/>
      <c r="L377" s="2">
        <v>30</v>
      </c>
      <c r="M377" s="10"/>
      <c r="N377" s="2">
        <v>18</v>
      </c>
      <c r="P377" s="2">
        <v>12</v>
      </c>
      <c r="Q377" s="10"/>
      <c r="S377" s="1" t="s">
        <v>30</v>
      </c>
      <c r="T377" s="1"/>
      <c r="U377" s="1">
        <v>2030</v>
      </c>
      <c r="V377" s="1">
        <v>1</v>
      </c>
      <c r="W377" s="1">
        <v>1</v>
      </c>
      <c r="X377" s="1" t="s">
        <v>32</v>
      </c>
      <c r="Y377" s="1" t="s">
        <v>32</v>
      </c>
      <c r="Z377" s="1"/>
      <c r="AB377" s="2">
        <v>0</v>
      </c>
    </row>
    <row r="378" spans="1:38" s="2" customFormat="1" hidden="1" x14ac:dyDescent="0.35">
      <c r="A378" s="2" t="s">
        <v>579</v>
      </c>
      <c r="B378" s="2" t="s">
        <v>1028</v>
      </c>
      <c r="C378" s="26">
        <v>42014</v>
      </c>
      <c r="D378" s="26"/>
      <c r="E378" s="26"/>
      <c r="F378" s="26"/>
      <c r="G378" s="26"/>
      <c r="H378" s="10"/>
      <c r="I378" s="10"/>
      <c r="J378" s="10"/>
      <c r="K378" s="1"/>
      <c r="M378" s="10"/>
      <c r="Q378" s="10"/>
      <c r="S378" s="1"/>
      <c r="T378" s="1"/>
      <c r="U378" s="1"/>
      <c r="V378" s="1">
        <v>1</v>
      </c>
      <c r="W378" s="1">
        <v>1</v>
      </c>
      <c r="X378" s="1"/>
      <c r="Y378" s="1"/>
      <c r="Z378" s="1"/>
      <c r="AB378" s="2">
        <v>0</v>
      </c>
      <c r="AF378" s="2" t="s">
        <v>580</v>
      </c>
    </row>
    <row r="379" spans="1:38" s="10" customFormat="1" ht="17" x14ac:dyDescent="0.35">
      <c r="A379" s="10" t="s">
        <v>579</v>
      </c>
      <c r="B379" s="10" t="s">
        <v>1029</v>
      </c>
      <c r="C379" s="33">
        <v>42560</v>
      </c>
      <c r="I379" s="22" t="s">
        <v>1085</v>
      </c>
      <c r="M379" s="1"/>
      <c r="O379" s="56"/>
      <c r="P379" s="1"/>
      <c r="Q379" s="59"/>
      <c r="V379" s="10">
        <v>1</v>
      </c>
      <c r="W379" s="10">
        <v>1</v>
      </c>
      <c r="AB379" s="10">
        <v>0</v>
      </c>
      <c r="AF379" s="10" t="s">
        <v>580</v>
      </c>
    </row>
    <row r="380" spans="1:38" s="10" customFormat="1" ht="17.5" x14ac:dyDescent="0.35">
      <c r="A380" s="10" t="s">
        <v>579</v>
      </c>
      <c r="B380" s="10" t="s">
        <v>1030</v>
      </c>
      <c r="C380" s="33">
        <v>44535</v>
      </c>
      <c r="D380" s="10">
        <v>60</v>
      </c>
      <c r="E380" s="10" t="s">
        <v>1139</v>
      </c>
      <c r="F380" s="10" t="s">
        <v>1091</v>
      </c>
      <c r="G380" s="12" t="s">
        <v>129</v>
      </c>
      <c r="H380" s="10" t="s">
        <v>1078</v>
      </c>
      <c r="L380" s="10">
        <v>60</v>
      </c>
      <c r="M380" s="1"/>
      <c r="N380" s="10">
        <v>60</v>
      </c>
      <c r="O380" s="56"/>
      <c r="P380" s="1"/>
      <c r="Q380" s="59"/>
      <c r="S380" s="10" t="s">
        <v>45</v>
      </c>
      <c r="U380" s="10">
        <v>2030</v>
      </c>
      <c r="V380" s="10">
        <v>1</v>
      </c>
      <c r="W380" s="10">
        <v>1</v>
      </c>
      <c r="X380" s="10" t="s">
        <v>32</v>
      </c>
      <c r="Y380" s="10" t="s">
        <v>32</v>
      </c>
      <c r="AB380" s="10">
        <v>1</v>
      </c>
      <c r="AC380" s="10">
        <v>2050</v>
      </c>
      <c r="AF380" s="10" t="s">
        <v>581</v>
      </c>
    </row>
    <row r="381" spans="1:38" s="2" customFormat="1" hidden="1" x14ac:dyDescent="0.35">
      <c r="A381" s="2" t="s">
        <v>579</v>
      </c>
      <c r="B381" s="2" t="s">
        <v>1031</v>
      </c>
      <c r="C381" s="26"/>
      <c r="D381" s="26"/>
      <c r="E381" s="26"/>
      <c r="F381" s="26"/>
      <c r="G381" s="26"/>
      <c r="H381" s="10"/>
      <c r="I381" s="10"/>
      <c r="J381" s="10"/>
      <c r="K381" s="1"/>
      <c r="M381" s="10"/>
      <c r="Q381" s="10"/>
      <c r="S381" s="1"/>
      <c r="T381" s="1"/>
      <c r="U381" s="1"/>
      <c r="V381" s="1"/>
      <c r="W381" s="1"/>
      <c r="X381" s="1"/>
      <c r="Y381" s="1"/>
      <c r="Z381" s="1"/>
    </row>
    <row r="382" spans="1:38" s="2" customFormat="1" hidden="1" x14ac:dyDescent="0.35">
      <c r="A382" s="2" t="s">
        <v>582</v>
      </c>
      <c r="B382" s="2" t="s">
        <v>1028</v>
      </c>
      <c r="C382" s="26"/>
      <c r="D382" s="26"/>
      <c r="E382" s="26"/>
      <c r="F382" s="26"/>
      <c r="G382" s="26"/>
      <c r="H382" s="10"/>
      <c r="I382" s="10"/>
      <c r="J382" s="10"/>
      <c r="K382" s="1"/>
      <c r="M382" s="10"/>
      <c r="Q382" s="10"/>
      <c r="S382" s="1"/>
      <c r="T382" s="1"/>
      <c r="U382" s="1"/>
      <c r="V382" s="1"/>
      <c r="W382" s="1"/>
      <c r="X382" s="1"/>
      <c r="Y382" s="1"/>
      <c r="Z382" s="1"/>
    </row>
    <row r="383" spans="1:38" s="10" customFormat="1" x14ac:dyDescent="0.35">
      <c r="A383" s="10" t="s">
        <v>582</v>
      </c>
      <c r="B383" s="10" t="s">
        <v>1029</v>
      </c>
      <c r="C383" s="10" t="s">
        <v>583</v>
      </c>
      <c r="D383" s="10">
        <v>40</v>
      </c>
      <c r="E383" s="10" t="s">
        <v>1140</v>
      </c>
      <c r="F383" s="10" t="s">
        <v>1140</v>
      </c>
      <c r="G383" s="10" t="s">
        <v>53</v>
      </c>
      <c r="H383" s="10" t="s">
        <v>1078</v>
      </c>
      <c r="L383" s="10">
        <v>40</v>
      </c>
      <c r="M383" s="1"/>
      <c r="N383" s="10">
        <v>40</v>
      </c>
      <c r="O383" s="56"/>
      <c r="P383" s="1"/>
      <c r="Q383" s="59"/>
      <c r="T383" s="10">
        <v>1990</v>
      </c>
      <c r="U383" s="10">
        <v>2030</v>
      </c>
      <c r="V383" s="10">
        <v>0</v>
      </c>
      <c r="W383" s="10">
        <v>0</v>
      </c>
      <c r="X383" s="10" t="s">
        <v>51</v>
      </c>
      <c r="Y383" s="10" t="s">
        <v>51</v>
      </c>
      <c r="AB383" s="10">
        <v>1</v>
      </c>
      <c r="AC383" s="10">
        <v>2050</v>
      </c>
      <c r="AF383" s="10" t="s">
        <v>215</v>
      </c>
      <c r="AL383" s="10" t="s">
        <v>101</v>
      </c>
    </row>
    <row r="384" spans="1:38" s="10" customFormat="1" x14ac:dyDescent="0.35">
      <c r="A384" s="10" t="s">
        <v>582</v>
      </c>
      <c r="B384" s="10" t="s">
        <v>1030</v>
      </c>
      <c r="C384" s="10" t="s">
        <v>102</v>
      </c>
      <c r="D384" s="10" t="s">
        <v>342</v>
      </c>
      <c r="E384" s="10" t="s">
        <v>1140</v>
      </c>
      <c r="F384" s="10" t="s">
        <v>1140</v>
      </c>
      <c r="G384" s="10" t="s">
        <v>53</v>
      </c>
      <c r="H384" s="10" t="s">
        <v>1078</v>
      </c>
      <c r="L384" s="10" t="s">
        <v>342</v>
      </c>
      <c r="M384" s="1"/>
      <c r="N384" s="10" t="s">
        <v>342</v>
      </c>
      <c r="O384" s="56"/>
      <c r="P384" s="1"/>
      <c r="Q384" s="59"/>
      <c r="T384" s="10">
        <v>1990</v>
      </c>
      <c r="U384" s="10">
        <v>2030</v>
      </c>
      <c r="V384" s="10">
        <v>0</v>
      </c>
      <c r="W384" s="10">
        <v>0</v>
      </c>
      <c r="X384" s="10" t="s">
        <v>51</v>
      </c>
      <c r="Y384" s="10" t="s">
        <v>51</v>
      </c>
      <c r="AB384" s="10">
        <v>1</v>
      </c>
      <c r="AC384" s="10">
        <v>2050</v>
      </c>
      <c r="AF384" s="10" t="s">
        <v>215</v>
      </c>
      <c r="AL384" s="10" t="s">
        <v>343</v>
      </c>
    </row>
    <row r="385" spans="1:36" s="2" customFormat="1" hidden="1" x14ac:dyDescent="0.35">
      <c r="A385" s="2" t="s">
        <v>582</v>
      </c>
      <c r="B385" s="2" t="s">
        <v>1031</v>
      </c>
      <c r="C385" s="26"/>
      <c r="D385" s="26"/>
      <c r="E385" s="26"/>
      <c r="F385" s="26"/>
      <c r="G385" s="26"/>
      <c r="H385" s="10"/>
      <c r="I385" s="10"/>
      <c r="J385" s="10"/>
      <c r="K385" s="1"/>
      <c r="M385" s="10"/>
      <c r="Q385" s="10"/>
      <c r="S385" s="1"/>
      <c r="T385" s="1"/>
      <c r="U385" s="1"/>
      <c r="V385" s="1"/>
      <c r="W385" s="1"/>
      <c r="X385" s="1"/>
      <c r="Y385" s="1"/>
      <c r="Z385" s="1"/>
    </row>
    <row r="386" spans="1:36" s="2" customFormat="1" hidden="1" x14ac:dyDescent="0.35">
      <c r="A386" s="2" t="s">
        <v>584</v>
      </c>
      <c r="B386" s="2" t="s">
        <v>1028</v>
      </c>
      <c r="C386" s="26" t="s">
        <v>170</v>
      </c>
      <c r="D386" s="26">
        <v>30</v>
      </c>
      <c r="E386" s="26"/>
      <c r="F386" s="26"/>
      <c r="G386" s="26" t="s">
        <v>129</v>
      </c>
      <c r="H386" s="10" t="s">
        <v>1077</v>
      </c>
      <c r="I386" s="10"/>
      <c r="J386" s="10"/>
      <c r="K386" s="1"/>
      <c r="L386" s="2">
        <v>30</v>
      </c>
      <c r="M386" s="10"/>
      <c r="N386" s="2">
        <v>15</v>
      </c>
      <c r="P386" s="2">
        <v>15</v>
      </c>
      <c r="Q386" s="10"/>
      <c r="S386" s="1" t="s">
        <v>45</v>
      </c>
      <c r="T386" s="1"/>
      <c r="U386" s="1">
        <v>2030</v>
      </c>
      <c r="V386" s="1">
        <v>1</v>
      </c>
      <c r="W386" s="1">
        <v>1</v>
      </c>
      <c r="X386" s="1" t="s">
        <v>32</v>
      </c>
      <c r="Y386" s="1" t="s">
        <v>32</v>
      </c>
      <c r="Z386" s="1"/>
      <c r="AB386" s="2">
        <v>0</v>
      </c>
      <c r="AF386" s="2" t="s">
        <v>585</v>
      </c>
    </row>
    <row r="387" spans="1:36" s="10" customFormat="1" ht="17" x14ac:dyDescent="0.35">
      <c r="A387" s="10" t="s">
        <v>584</v>
      </c>
      <c r="B387" s="10" t="s">
        <v>1029</v>
      </c>
      <c r="C387" s="33">
        <v>43923</v>
      </c>
      <c r="D387" s="10">
        <v>30</v>
      </c>
      <c r="E387" s="10" t="s">
        <v>1096</v>
      </c>
      <c r="F387" s="10" t="s">
        <v>1137</v>
      </c>
      <c r="G387" s="10" t="s">
        <v>129</v>
      </c>
      <c r="H387" s="10" t="s">
        <v>1077</v>
      </c>
      <c r="L387" s="10">
        <v>30</v>
      </c>
      <c r="M387" s="1"/>
      <c r="N387" s="10">
        <v>15</v>
      </c>
      <c r="O387" s="56"/>
      <c r="P387" s="1">
        <v>15</v>
      </c>
      <c r="Q387" s="59"/>
      <c r="S387" s="10" t="s">
        <v>45</v>
      </c>
      <c r="U387" s="10">
        <v>2030</v>
      </c>
      <c r="V387" s="10">
        <v>1</v>
      </c>
      <c r="W387" s="10">
        <v>1</v>
      </c>
      <c r="X387" s="10" t="s">
        <v>32</v>
      </c>
      <c r="Y387" s="10" t="s">
        <v>32</v>
      </c>
      <c r="AB387" s="10">
        <v>0</v>
      </c>
      <c r="AF387" s="10" t="s">
        <v>585</v>
      </c>
    </row>
    <row r="388" spans="1:36" s="10" customFormat="1" x14ac:dyDescent="0.35">
      <c r="A388" s="10" t="s">
        <v>584</v>
      </c>
      <c r="B388" s="10" t="s">
        <v>1030</v>
      </c>
      <c r="C388" s="10" t="s">
        <v>586</v>
      </c>
      <c r="D388" s="10">
        <v>31</v>
      </c>
      <c r="E388" s="10" t="s">
        <v>1096</v>
      </c>
      <c r="F388" s="10" t="s">
        <v>1137</v>
      </c>
      <c r="G388" s="10" t="s">
        <v>129</v>
      </c>
      <c r="H388" s="10" t="s">
        <v>1077</v>
      </c>
      <c r="L388" s="10">
        <v>31</v>
      </c>
      <c r="M388" s="1"/>
      <c r="N388" s="10">
        <v>20</v>
      </c>
      <c r="O388" s="56"/>
      <c r="P388" s="1">
        <v>11</v>
      </c>
      <c r="Q388" s="59"/>
      <c r="S388" s="10" t="s">
        <v>45</v>
      </c>
      <c r="U388" s="10">
        <v>2030</v>
      </c>
      <c r="V388" s="10">
        <v>1</v>
      </c>
      <c r="W388" s="10">
        <v>1</v>
      </c>
      <c r="X388" s="10" t="s">
        <v>32</v>
      </c>
      <c r="Y388" s="10" t="s">
        <v>32</v>
      </c>
      <c r="AB388" s="10">
        <v>0</v>
      </c>
      <c r="AF388" s="10" t="s">
        <v>585</v>
      </c>
    </row>
    <row r="389" spans="1:36" s="2" customFormat="1" hidden="1" x14ac:dyDescent="0.35">
      <c r="A389" s="2" t="s">
        <v>584</v>
      </c>
      <c r="B389" s="2" t="s">
        <v>1031</v>
      </c>
      <c r="C389" s="26"/>
      <c r="D389" s="26">
        <v>33</v>
      </c>
      <c r="E389" s="26"/>
      <c r="F389" s="26"/>
      <c r="G389" s="26"/>
      <c r="H389" s="10" t="s">
        <v>1077</v>
      </c>
      <c r="I389" s="10"/>
      <c r="J389" s="10"/>
      <c r="K389" s="1"/>
      <c r="L389" s="2">
        <v>33</v>
      </c>
      <c r="M389" s="10"/>
      <c r="N389" s="2">
        <v>22</v>
      </c>
      <c r="P389" s="2">
        <v>11</v>
      </c>
      <c r="Q389" s="10"/>
      <c r="S389" s="1" t="s">
        <v>30</v>
      </c>
      <c r="T389" s="1"/>
      <c r="U389" s="1">
        <v>2030</v>
      </c>
      <c r="V389" s="1">
        <v>1</v>
      </c>
      <c r="W389" s="1">
        <v>1</v>
      </c>
      <c r="X389" s="1" t="s">
        <v>32</v>
      </c>
      <c r="Y389" s="1" t="s">
        <v>32</v>
      </c>
      <c r="Z389" s="1"/>
      <c r="AB389" s="2">
        <v>0</v>
      </c>
    </row>
    <row r="390" spans="1:36" s="2" customFormat="1" hidden="1" x14ac:dyDescent="0.35">
      <c r="A390" s="2" t="s">
        <v>587</v>
      </c>
      <c r="B390" s="2" t="s">
        <v>1028</v>
      </c>
      <c r="C390" s="26" t="s">
        <v>140</v>
      </c>
      <c r="D390" s="26">
        <v>35</v>
      </c>
      <c r="E390" s="26"/>
      <c r="F390" s="26"/>
      <c r="G390" s="26"/>
      <c r="H390" s="10" t="s">
        <v>1077</v>
      </c>
      <c r="I390" s="10"/>
      <c r="J390" s="10"/>
      <c r="K390" s="1"/>
      <c r="L390" s="2">
        <v>35</v>
      </c>
      <c r="M390" s="10"/>
      <c r="N390" s="2">
        <v>10</v>
      </c>
      <c r="P390" s="2">
        <v>25</v>
      </c>
      <c r="Q390" s="10"/>
      <c r="S390" s="1" t="s">
        <v>45</v>
      </c>
      <c r="T390" s="1"/>
      <c r="U390" s="1">
        <v>2030</v>
      </c>
      <c r="V390" s="1">
        <v>1</v>
      </c>
      <c r="W390" s="1">
        <v>1</v>
      </c>
      <c r="X390" s="1" t="s">
        <v>32</v>
      </c>
      <c r="Y390" s="1" t="s">
        <v>32</v>
      </c>
      <c r="Z390" s="1"/>
      <c r="AB390" s="2">
        <v>0</v>
      </c>
      <c r="AF390" s="2" t="s">
        <v>588</v>
      </c>
    </row>
    <row r="391" spans="1:36" s="10" customFormat="1" ht="17.5" x14ac:dyDescent="0.35">
      <c r="A391" s="10" t="s">
        <v>587</v>
      </c>
      <c r="B391" s="10" t="s">
        <v>1029</v>
      </c>
      <c r="C391" s="10" t="s">
        <v>589</v>
      </c>
      <c r="D391" s="10">
        <v>35</v>
      </c>
      <c r="E391" s="10" t="s">
        <v>1096</v>
      </c>
      <c r="F391" s="10" t="s">
        <v>1145</v>
      </c>
      <c r="G391" s="12" t="s">
        <v>1117</v>
      </c>
      <c r="H391" s="10" t="s">
        <v>1077</v>
      </c>
      <c r="L391" s="10">
        <v>35</v>
      </c>
      <c r="M391" s="1"/>
      <c r="N391" s="10">
        <v>10</v>
      </c>
      <c r="O391" s="56"/>
      <c r="P391" s="1">
        <v>25</v>
      </c>
      <c r="Q391" s="59"/>
      <c r="S391" s="10" t="s">
        <v>45</v>
      </c>
      <c r="U391" s="10">
        <v>2030</v>
      </c>
      <c r="V391" s="10">
        <v>1</v>
      </c>
      <c r="W391" s="10">
        <v>1</v>
      </c>
      <c r="X391" s="10" t="s">
        <v>32</v>
      </c>
      <c r="Y391" s="10" t="s">
        <v>32</v>
      </c>
      <c r="AB391" s="10">
        <v>0</v>
      </c>
      <c r="AF391" s="10" t="s">
        <v>588</v>
      </c>
    </row>
    <row r="392" spans="1:36" s="10" customFormat="1" x14ac:dyDescent="0.35">
      <c r="A392" s="10" t="s">
        <v>587</v>
      </c>
      <c r="B392" s="10" t="s">
        <v>1030</v>
      </c>
      <c r="C392" s="10">
        <v>45779</v>
      </c>
      <c r="H392" s="10" t="s">
        <v>1077</v>
      </c>
      <c r="M392" s="1"/>
      <c r="O392" s="56"/>
      <c r="P392" s="1"/>
      <c r="Q392" s="59"/>
      <c r="S392" s="10" t="s">
        <v>45</v>
      </c>
      <c r="U392" s="10">
        <v>2030</v>
      </c>
      <c r="V392" s="10">
        <v>1</v>
      </c>
      <c r="W392" s="10">
        <v>1</v>
      </c>
      <c r="X392" s="10" t="s">
        <v>32</v>
      </c>
      <c r="Y392" s="10" t="s">
        <v>32</v>
      </c>
      <c r="AB392" s="10">
        <v>0</v>
      </c>
      <c r="AF392" s="10" t="s">
        <v>588</v>
      </c>
    </row>
    <row r="393" spans="1:36" s="2" customFormat="1" hidden="1" x14ac:dyDescent="0.35">
      <c r="A393" s="2" t="s">
        <v>587</v>
      </c>
      <c r="B393" s="2" t="s">
        <v>1031</v>
      </c>
      <c r="C393" s="26"/>
      <c r="D393" s="26"/>
      <c r="E393" s="26"/>
      <c r="F393" s="26"/>
      <c r="G393" s="26"/>
      <c r="H393" s="10"/>
      <c r="I393" s="10"/>
      <c r="J393" s="10"/>
      <c r="K393" s="1"/>
      <c r="M393" s="10"/>
      <c r="Q393" s="10"/>
      <c r="S393" s="1"/>
      <c r="T393" s="1"/>
      <c r="U393" s="1"/>
      <c r="V393" s="1"/>
      <c r="W393" s="1"/>
      <c r="X393" s="1"/>
      <c r="Y393" s="1"/>
      <c r="Z393" s="1"/>
    </row>
    <row r="394" spans="1:36" s="2" customFormat="1" hidden="1" x14ac:dyDescent="0.35">
      <c r="A394" s="2" t="s">
        <v>590</v>
      </c>
      <c r="B394" s="2" t="s">
        <v>1028</v>
      </c>
      <c r="C394" s="26" t="s">
        <v>140</v>
      </c>
      <c r="D394" s="26">
        <v>15</v>
      </c>
      <c r="E394" s="26"/>
      <c r="F394" s="26"/>
      <c r="G394" s="26"/>
      <c r="H394" s="2" t="s">
        <v>1076</v>
      </c>
      <c r="I394" s="10"/>
      <c r="J394" s="10"/>
      <c r="K394" s="1"/>
      <c r="L394" s="2">
        <v>15</v>
      </c>
      <c r="M394" s="10"/>
      <c r="P394" s="2">
        <v>15</v>
      </c>
      <c r="Q394" s="10"/>
      <c r="S394" s="1" t="s">
        <v>45</v>
      </c>
      <c r="T394" s="1"/>
      <c r="U394" s="1">
        <v>2030</v>
      </c>
      <c r="V394" s="1">
        <v>1</v>
      </c>
      <c r="W394" s="1">
        <v>1</v>
      </c>
      <c r="X394" s="1" t="s">
        <v>32</v>
      </c>
      <c r="Y394" s="1" t="s">
        <v>32</v>
      </c>
      <c r="Z394" s="1"/>
      <c r="AB394" s="2">
        <v>0</v>
      </c>
      <c r="AF394" s="2" t="s">
        <v>591</v>
      </c>
    </row>
    <row r="395" spans="1:36" s="10" customFormat="1" ht="17.5" x14ac:dyDescent="0.35">
      <c r="A395" s="10" t="s">
        <v>590</v>
      </c>
      <c r="B395" s="10" t="s">
        <v>1029</v>
      </c>
      <c r="C395" s="10" t="s">
        <v>592</v>
      </c>
      <c r="D395" s="10">
        <v>15</v>
      </c>
      <c r="E395" s="10" t="s">
        <v>1097</v>
      </c>
      <c r="F395" s="10" t="s">
        <v>1097</v>
      </c>
      <c r="G395" s="12" t="s">
        <v>1117</v>
      </c>
      <c r="H395" s="10" t="s">
        <v>1076</v>
      </c>
      <c r="L395" s="10">
        <v>15</v>
      </c>
      <c r="M395" s="1"/>
      <c r="O395" s="56"/>
      <c r="P395" s="1">
        <v>15</v>
      </c>
      <c r="Q395" s="59"/>
      <c r="S395" s="10" t="s">
        <v>45</v>
      </c>
      <c r="U395" s="10">
        <v>2030</v>
      </c>
      <c r="V395" s="10">
        <v>1</v>
      </c>
      <c r="W395" s="10">
        <v>1</v>
      </c>
      <c r="X395" s="10" t="s">
        <v>32</v>
      </c>
      <c r="Y395" s="10" t="s">
        <v>32</v>
      </c>
      <c r="AB395" s="10">
        <v>0</v>
      </c>
      <c r="AF395" s="10" t="s">
        <v>591</v>
      </c>
    </row>
    <row r="396" spans="1:36" s="10" customFormat="1" ht="17" x14ac:dyDescent="0.35">
      <c r="A396" s="10" t="s">
        <v>590</v>
      </c>
      <c r="B396" s="10" t="s">
        <v>1030</v>
      </c>
      <c r="C396" s="33">
        <v>44294</v>
      </c>
      <c r="D396" s="10">
        <v>64</v>
      </c>
      <c r="E396" s="10" t="s">
        <v>1096</v>
      </c>
      <c r="F396" s="10" t="s">
        <v>1145</v>
      </c>
      <c r="H396" s="10" t="s">
        <v>1077</v>
      </c>
      <c r="L396" s="10">
        <v>64</v>
      </c>
      <c r="M396" s="1"/>
      <c r="N396" s="10">
        <v>10</v>
      </c>
      <c r="O396" s="56"/>
      <c r="P396" s="1">
        <v>54</v>
      </c>
      <c r="Q396" s="59"/>
      <c r="S396" s="10" t="s">
        <v>45</v>
      </c>
      <c r="U396" s="10">
        <v>2030</v>
      </c>
      <c r="V396" s="10">
        <v>1</v>
      </c>
      <c r="W396" s="10">
        <v>1</v>
      </c>
      <c r="X396" s="10" t="s">
        <v>32</v>
      </c>
      <c r="Y396" s="10" t="s">
        <v>32</v>
      </c>
      <c r="AB396" s="10">
        <v>0</v>
      </c>
      <c r="AF396" s="10" t="s">
        <v>593</v>
      </c>
      <c r="AJ396" s="10" t="s">
        <v>594</v>
      </c>
    </row>
    <row r="397" spans="1:36" s="2" customFormat="1" hidden="1" x14ac:dyDescent="0.35">
      <c r="A397" s="2" t="s">
        <v>590</v>
      </c>
      <c r="B397" s="2" t="s">
        <v>1031</v>
      </c>
      <c r="C397" s="26"/>
      <c r="D397" s="26">
        <v>64</v>
      </c>
      <c r="E397" s="26"/>
      <c r="F397" s="26"/>
      <c r="G397" s="26"/>
      <c r="H397" s="10" t="s">
        <v>1077</v>
      </c>
      <c r="I397" s="10"/>
      <c r="J397" s="10"/>
      <c r="K397" s="1"/>
      <c r="L397" s="2">
        <v>64</v>
      </c>
      <c r="M397" s="10"/>
      <c r="N397" s="2">
        <v>10</v>
      </c>
      <c r="P397" s="2">
        <v>54</v>
      </c>
      <c r="Q397" s="10"/>
      <c r="S397" s="1" t="s">
        <v>45</v>
      </c>
      <c r="T397" s="1"/>
      <c r="U397" s="1">
        <v>2035</v>
      </c>
      <c r="V397" s="1">
        <v>1</v>
      </c>
      <c r="W397" s="1">
        <v>1</v>
      </c>
      <c r="X397" s="1" t="s">
        <v>32</v>
      </c>
      <c r="Y397" s="1" t="s">
        <v>32</v>
      </c>
      <c r="Z397" s="1"/>
      <c r="AB397" s="2">
        <v>0</v>
      </c>
    </row>
    <row r="398" spans="1:36" s="2" customFormat="1" hidden="1" x14ac:dyDescent="0.35">
      <c r="A398" s="2" t="s">
        <v>595</v>
      </c>
      <c r="B398" s="2" t="s">
        <v>1028</v>
      </c>
      <c r="C398" s="26"/>
      <c r="D398" s="26"/>
      <c r="E398" s="26"/>
      <c r="F398" s="26"/>
      <c r="G398" s="26"/>
      <c r="H398" s="10"/>
      <c r="I398" s="10"/>
      <c r="J398" s="10"/>
      <c r="K398" s="1"/>
      <c r="M398" s="10"/>
      <c r="Q398" s="10"/>
      <c r="S398" s="1"/>
      <c r="T398" s="1"/>
      <c r="U398" s="1"/>
      <c r="V398" s="1"/>
      <c r="W398" s="1"/>
      <c r="X398" s="1"/>
      <c r="Y398" s="1"/>
      <c r="Z398" s="1"/>
    </row>
    <row r="399" spans="1:36" s="46" customFormat="1" x14ac:dyDescent="0.35">
      <c r="A399" s="46" t="s">
        <v>595</v>
      </c>
      <c r="B399" s="46" t="s">
        <v>1029</v>
      </c>
      <c r="I399" s="46" t="s">
        <v>1086</v>
      </c>
      <c r="M399" s="51"/>
      <c r="O399" s="57"/>
      <c r="P399" s="51"/>
      <c r="Q399" s="60"/>
    </row>
    <row r="400" spans="1:36" s="46" customFormat="1" x14ac:dyDescent="0.35">
      <c r="A400" s="46" t="s">
        <v>595</v>
      </c>
      <c r="B400" s="46" t="s">
        <v>1030</v>
      </c>
      <c r="I400" s="46" t="s">
        <v>1086</v>
      </c>
      <c r="M400" s="51"/>
      <c r="O400" s="57"/>
      <c r="P400" s="51"/>
      <c r="Q400" s="60"/>
    </row>
    <row r="401" spans="1:38" s="2" customFormat="1" hidden="1" x14ac:dyDescent="0.35">
      <c r="A401" s="2" t="s">
        <v>595</v>
      </c>
      <c r="B401" s="2" t="s">
        <v>1031</v>
      </c>
      <c r="C401" s="26"/>
      <c r="D401" s="26"/>
      <c r="E401" s="26"/>
      <c r="F401" s="26"/>
      <c r="G401" s="26"/>
      <c r="H401" s="10"/>
      <c r="I401" s="10"/>
      <c r="J401" s="10"/>
      <c r="K401" s="1"/>
      <c r="M401" s="10"/>
      <c r="Q401" s="10"/>
      <c r="S401" s="1"/>
      <c r="T401" s="1"/>
      <c r="U401" s="1"/>
      <c r="V401" s="1"/>
      <c r="W401" s="1"/>
      <c r="X401" s="1"/>
      <c r="Y401" s="1"/>
      <c r="Z401" s="1"/>
    </row>
    <row r="402" spans="1:38" s="2" customFormat="1" hidden="1" x14ac:dyDescent="0.35">
      <c r="A402" s="2" t="s">
        <v>596</v>
      </c>
      <c r="B402" s="2" t="s">
        <v>1028</v>
      </c>
      <c r="C402" s="26" t="s">
        <v>597</v>
      </c>
      <c r="D402" s="26" t="s">
        <v>598</v>
      </c>
      <c r="E402" s="26"/>
      <c r="F402" s="26"/>
      <c r="G402" s="26" t="s">
        <v>53</v>
      </c>
      <c r="H402" s="2" t="s">
        <v>1078</v>
      </c>
      <c r="I402" s="10"/>
      <c r="J402" s="10"/>
      <c r="K402" s="1"/>
      <c r="L402" s="2" t="s">
        <v>598</v>
      </c>
      <c r="M402" s="10"/>
      <c r="P402" s="2" t="s">
        <v>598</v>
      </c>
      <c r="Q402" s="10"/>
      <c r="S402" s="1"/>
      <c r="T402" s="1">
        <v>1990</v>
      </c>
      <c r="U402" s="1">
        <v>2030</v>
      </c>
      <c r="V402" s="1">
        <v>0</v>
      </c>
      <c r="W402" s="1">
        <v>0</v>
      </c>
      <c r="X402" s="1" t="s">
        <v>51</v>
      </c>
      <c r="Y402" s="1" t="s">
        <v>51</v>
      </c>
      <c r="Z402" s="1"/>
      <c r="AB402" s="2">
        <v>0</v>
      </c>
      <c r="AF402" s="2" t="s">
        <v>599</v>
      </c>
    </row>
    <row r="403" spans="1:38" s="1" customFormat="1" x14ac:dyDescent="0.35">
      <c r="A403" s="1" t="s">
        <v>596</v>
      </c>
      <c r="B403" s="1" t="s">
        <v>1029</v>
      </c>
      <c r="C403" s="1" t="s">
        <v>600</v>
      </c>
      <c r="D403" s="1" t="s">
        <v>598</v>
      </c>
      <c r="E403" s="1" t="s">
        <v>1140</v>
      </c>
      <c r="F403" s="1" t="s">
        <v>1140</v>
      </c>
      <c r="G403" s="1" t="s">
        <v>53</v>
      </c>
      <c r="H403" s="1" t="s">
        <v>1078</v>
      </c>
      <c r="L403" s="64" t="s">
        <v>598</v>
      </c>
      <c r="N403" s="1" t="s">
        <v>598</v>
      </c>
      <c r="T403" s="1">
        <v>1990</v>
      </c>
      <c r="U403" s="1">
        <v>2030</v>
      </c>
      <c r="V403" s="1">
        <v>0</v>
      </c>
      <c r="W403" s="1">
        <v>0</v>
      </c>
      <c r="X403" s="1" t="s">
        <v>51</v>
      </c>
      <c r="Y403" s="1" t="s">
        <v>51</v>
      </c>
      <c r="AB403" s="1">
        <v>0</v>
      </c>
      <c r="AF403" s="1" t="s">
        <v>599</v>
      </c>
    </row>
    <row r="404" spans="1:38" s="1" customFormat="1" x14ac:dyDescent="0.35">
      <c r="A404" s="1" t="s">
        <v>596</v>
      </c>
      <c r="B404" s="1" t="s">
        <v>1030</v>
      </c>
      <c r="D404" s="1" t="s">
        <v>598</v>
      </c>
      <c r="E404" s="1" t="s">
        <v>1140</v>
      </c>
      <c r="F404" s="1" t="s">
        <v>1140</v>
      </c>
      <c r="G404" s="1" t="s">
        <v>53</v>
      </c>
      <c r="H404" s="1" t="s">
        <v>1078</v>
      </c>
      <c r="L404" s="64" t="s">
        <v>598</v>
      </c>
      <c r="N404" s="1" t="s">
        <v>598</v>
      </c>
    </row>
    <row r="405" spans="1:38" s="2" customFormat="1" ht="17" hidden="1" x14ac:dyDescent="0.35">
      <c r="A405" s="2" t="s">
        <v>596</v>
      </c>
      <c r="B405" s="2" t="s">
        <v>1031</v>
      </c>
      <c r="C405" s="30" t="s">
        <v>1052</v>
      </c>
      <c r="D405" s="26">
        <v>55</v>
      </c>
      <c r="E405" s="26"/>
      <c r="F405" s="26"/>
      <c r="G405" s="26"/>
      <c r="H405" s="2" t="s">
        <v>1078</v>
      </c>
      <c r="I405" s="14"/>
      <c r="J405" s="14"/>
      <c r="K405" s="18"/>
      <c r="L405" s="2">
        <v>55</v>
      </c>
      <c r="M405" s="10"/>
      <c r="Q405" s="10"/>
      <c r="S405" s="1"/>
      <c r="T405" s="1">
        <v>1990</v>
      </c>
      <c r="U405" s="1">
        <v>2030</v>
      </c>
      <c r="V405" s="1">
        <v>1</v>
      </c>
      <c r="W405" s="1">
        <v>1</v>
      </c>
      <c r="X405" s="1" t="s">
        <v>51</v>
      </c>
      <c r="Y405" s="1" t="s">
        <v>51</v>
      </c>
      <c r="Z405" s="1"/>
      <c r="AB405" s="2">
        <v>0</v>
      </c>
    </row>
    <row r="406" spans="1:38" s="2" customFormat="1" hidden="1" x14ac:dyDescent="0.35">
      <c r="A406" s="2" t="s">
        <v>601</v>
      </c>
      <c r="B406" s="2" t="s">
        <v>1028</v>
      </c>
      <c r="C406" s="26"/>
      <c r="D406" s="26"/>
      <c r="E406" s="26"/>
      <c r="F406" s="26"/>
      <c r="G406" s="26"/>
      <c r="H406" s="10"/>
      <c r="I406" s="10"/>
      <c r="J406" s="10"/>
      <c r="K406" s="1"/>
      <c r="M406" s="10"/>
      <c r="Q406" s="10"/>
      <c r="S406" s="1"/>
      <c r="T406" s="1"/>
      <c r="U406" s="1"/>
      <c r="V406" s="1"/>
      <c r="W406" s="1"/>
      <c r="X406" s="1"/>
      <c r="Y406" s="1"/>
      <c r="Z406" s="1"/>
    </row>
    <row r="407" spans="1:38" s="10" customFormat="1" ht="17" x14ac:dyDescent="0.35">
      <c r="A407" s="10" t="s">
        <v>601</v>
      </c>
      <c r="B407" s="10" t="s">
        <v>1029</v>
      </c>
      <c r="C407" s="33">
        <v>42768</v>
      </c>
      <c r="D407" s="10">
        <v>40</v>
      </c>
      <c r="E407" s="10" t="s">
        <v>1140</v>
      </c>
      <c r="F407" s="10" t="s">
        <v>1140</v>
      </c>
      <c r="G407" s="10" t="s">
        <v>53</v>
      </c>
      <c r="H407" s="10" t="s">
        <v>1078</v>
      </c>
      <c r="L407" s="10">
        <v>40</v>
      </c>
      <c r="M407" s="1"/>
      <c r="N407" s="10">
        <v>40</v>
      </c>
      <c r="O407" s="56"/>
      <c r="P407" s="1"/>
      <c r="Q407" s="59"/>
      <c r="T407" s="10">
        <v>1990</v>
      </c>
      <c r="U407" s="10">
        <v>2030</v>
      </c>
      <c r="V407" s="10">
        <v>0</v>
      </c>
      <c r="W407" s="10">
        <v>0</v>
      </c>
      <c r="X407" s="10" t="s">
        <v>51</v>
      </c>
      <c r="Y407" s="10" t="s">
        <v>51</v>
      </c>
      <c r="AB407" s="10">
        <v>1</v>
      </c>
      <c r="AC407" s="10">
        <v>2050</v>
      </c>
      <c r="AF407" s="10" t="s">
        <v>215</v>
      </c>
      <c r="AL407" s="10" t="s">
        <v>101</v>
      </c>
    </row>
    <row r="408" spans="1:38" s="10" customFormat="1" x14ac:dyDescent="0.35">
      <c r="A408" s="10" t="s">
        <v>601</v>
      </c>
      <c r="B408" s="10" t="s">
        <v>1030</v>
      </c>
      <c r="C408" s="10" t="s">
        <v>102</v>
      </c>
      <c r="D408" s="10" t="s">
        <v>342</v>
      </c>
      <c r="E408" s="10" t="s">
        <v>1140</v>
      </c>
      <c r="F408" s="10" t="s">
        <v>1140</v>
      </c>
      <c r="G408" s="10" t="s">
        <v>53</v>
      </c>
      <c r="H408" s="10" t="s">
        <v>1078</v>
      </c>
      <c r="L408" s="10" t="s">
        <v>342</v>
      </c>
      <c r="M408" s="1"/>
      <c r="N408" s="10" t="s">
        <v>342</v>
      </c>
      <c r="O408" s="56"/>
      <c r="P408" s="1"/>
      <c r="Q408" s="59"/>
      <c r="T408" s="10">
        <v>1990</v>
      </c>
      <c r="U408" s="10">
        <v>2030</v>
      </c>
      <c r="V408" s="10">
        <v>0</v>
      </c>
      <c r="W408" s="10">
        <v>0</v>
      </c>
      <c r="X408" s="10" t="s">
        <v>51</v>
      </c>
      <c r="Y408" s="10" t="s">
        <v>51</v>
      </c>
      <c r="AB408" s="10">
        <v>1</v>
      </c>
      <c r="AC408" s="10">
        <v>2050</v>
      </c>
      <c r="AF408" s="10" t="s">
        <v>215</v>
      </c>
      <c r="AL408" s="10" t="s">
        <v>343</v>
      </c>
    </row>
    <row r="409" spans="1:38" s="2" customFormat="1" hidden="1" x14ac:dyDescent="0.35">
      <c r="A409" s="2" t="s">
        <v>601</v>
      </c>
      <c r="B409" s="2" t="s">
        <v>1031</v>
      </c>
      <c r="C409" s="26"/>
      <c r="D409" s="26"/>
      <c r="E409" s="26"/>
      <c r="F409" s="26"/>
      <c r="G409" s="26"/>
      <c r="H409" s="10"/>
      <c r="I409" s="10"/>
      <c r="J409" s="10"/>
      <c r="K409" s="1"/>
      <c r="M409" s="10"/>
      <c r="Q409" s="10"/>
      <c r="S409" s="1"/>
      <c r="T409" s="1"/>
      <c r="U409" s="1"/>
      <c r="V409" s="1"/>
      <c r="W409" s="1"/>
      <c r="X409" s="1"/>
      <c r="Y409" s="1"/>
      <c r="Z409" s="1"/>
    </row>
    <row r="410" spans="1:38" s="2" customFormat="1" hidden="1" x14ac:dyDescent="0.35">
      <c r="A410" s="2" t="s">
        <v>602</v>
      </c>
      <c r="B410" s="2" t="s">
        <v>1028</v>
      </c>
      <c r="C410" s="26"/>
      <c r="D410" s="26"/>
      <c r="E410" s="26"/>
      <c r="F410" s="26"/>
      <c r="G410" s="26"/>
      <c r="H410" s="10"/>
      <c r="I410" s="10"/>
      <c r="J410" s="10"/>
      <c r="K410" s="1"/>
      <c r="M410" s="10"/>
      <c r="Q410" s="10"/>
      <c r="S410" s="1"/>
      <c r="T410" s="1"/>
      <c r="U410" s="1"/>
      <c r="V410" s="1"/>
      <c r="W410" s="1"/>
      <c r="X410" s="1"/>
      <c r="Y410" s="1"/>
      <c r="Z410" s="1"/>
    </row>
    <row r="411" spans="1:38" s="10" customFormat="1" x14ac:dyDescent="0.35">
      <c r="A411" s="10" t="s">
        <v>602</v>
      </c>
      <c r="B411" s="10" t="s">
        <v>1029</v>
      </c>
      <c r="C411" s="10" t="s">
        <v>603</v>
      </c>
      <c r="D411" s="10">
        <v>40</v>
      </c>
      <c r="E411" s="10" t="s">
        <v>1140</v>
      </c>
      <c r="F411" s="10" t="s">
        <v>1140</v>
      </c>
      <c r="G411" s="10" t="s">
        <v>53</v>
      </c>
      <c r="H411" s="10" t="s">
        <v>1078</v>
      </c>
      <c r="L411" s="10">
        <v>40</v>
      </c>
      <c r="M411" s="1"/>
      <c r="N411" s="10">
        <v>40</v>
      </c>
      <c r="O411" s="56"/>
      <c r="P411" s="1"/>
      <c r="Q411" s="59"/>
      <c r="T411" s="10">
        <v>1990</v>
      </c>
      <c r="U411" s="10">
        <v>2030</v>
      </c>
      <c r="V411" s="10">
        <v>0</v>
      </c>
      <c r="W411" s="10">
        <v>0</v>
      </c>
      <c r="X411" s="10" t="s">
        <v>51</v>
      </c>
      <c r="Y411" s="10" t="s">
        <v>51</v>
      </c>
      <c r="AB411" s="10">
        <v>1</v>
      </c>
      <c r="AC411" s="10">
        <v>2050</v>
      </c>
      <c r="AF411" s="10" t="s">
        <v>215</v>
      </c>
      <c r="AL411" s="10" t="s">
        <v>101</v>
      </c>
    </row>
    <row r="412" spans="1:38" s="10" customFormat="1" x14ac:dyDescent="0.35">
      <c r="A412" s="10" t="s">
        <v>602</v>
      </c>
      <c r="B412" s="10" t="s">
        <v>1030</v>
      </c>
      <c r="C412" s="10" t="s">
        <v>102</v>
      </c>
      <c r="D412" s="10" t="s">
        <v>342</v>
      </c>
      <c r="E412" s="10" t="s">
        <v>1140</v>
      </c>
      <c r="F412" s="10" t="s">
        <v>1140</v>
      </c>
      <c r="G412" s="10" t="s">
        <v>53</v>
      </c>
      <c r="H412" s="10" t="s">
        <v>1078</v>
      </c>
      <c r="L412" s="10" t="s">
        <v>342</v>
      </c>
      <c r="M412" s="1"/>
      <c r="N412" s="10" t="s">
        <v>342</v>
      </c>
      <c r="O412" s="56"/>
      <c r="P412" s="1"/>
      <c r="Q412" s="59"/>
      <c r="T412" s="10">
        <v>1990</v>
      </c>
      <c r="U412" s="10">
        <v>2030</v>
      </c>
      <c r="V412" s="10">
        <v>0</v>
      </c>
      <c r="W412" s="10">
        <v>0</v>
      </c>
      <c r="X412" s="10" t="s">
        <v>51</v>
      </c>
      <c r="Y412" s="10" t="s">
        <v>51</v>
      </c>
      <c r="AB412" s="10">
        <v>1</v>
      </c>
      <c r="AC412" s="10">
        <v>2050</v>
      </c>
      <c r="AF412" s="10" t="s">
        <v>215</v>
      </c>
      <c r="AL412" s="10" t="s">
        <v>343</v>
      </c>
    </row>
    <row r="413" spans="1:38" s="2" customFormat="1" hidden="1" x14ac:dyDescent="0.35">
      <c r="A413" s="2" t="s">
        <v>602</v>
      </c>
      <c r="B413" s="2" t="s">
        <v>1031</v>
      </c>
      <c r="C413" s="26"/>
      <c r="D413" s="26"/>
      <c r="E413" s="26"/>
      <c r="F413" s="26"/>
      <c r="G413" s="26"/>
      <c r="H413" s="10"/>
      <c r="I413" s="10"/>
      <c r="J413" s="10"/>
      <c r="K413" s="1"/>
      <c r="M413" s="10"/>
      <c r="Q413" s="10"/>
      <c r="S413" s="1"/>
      <c r="T413" s="1"/>
      <c r="U413" s="1"/>
      <c r="V413" s="1"/>
      <c r="W413" s="1"/>
      <c r="X413" s="1"/>
      <c r="Y413" s="1"/>
      <c r="Z413" s="1"/>
    </row>
    <row r="414" spans="1:38" s="2" customFormat="1" hidden="1" x14ac:dyDescent="0.35">
      <c r="A414" s="2" t="s">
        <v>604</v>
      </c>
      <c r="B414" s="2" t="s">
        <v>1028</v>
      </c>
      <c r="C414" s="26" t="s">
        <v>605</v>
      </c>
      <c r="D414" s="26">
        <v>14</v>
      </c>
      <c r="E414" s="26"/>
      <c r="F414" s="26"/>
      <c r="G414" s="26"/>
      <c r="H414" s="2" t="s">
        <v>1076</v>
      </c>
      <c r="I414" s="10"/>
      <c r="J414" s="10"/>
      <c r="K414" s="1"/>
      <c r="L414" s="2">
        <v>14</v>
      </c>
      <c r="M414" s="10"/>
      <c r="P414" s="2">
        <v>14</v>
      </c>
      <c r="Q414" s="10"/>
      <c r="S414" s="1" t="s">
        <v>45</v>
      </c>
      <c r="T414" s="1"/>
      <c r="U414" s="1">
        <v>2030</v>
      </c>
      <c r="V414" s="1">
        <v>1</v>
      </c>
      <c r="W414" s="1">
        <v>1</v>
      </c>
      <c r="X414" s="1" t="s">
        <v>51</v>
      </c>
      <c r="Y414" s="1" t="s">
        <v>51</v>
      </c>
      <c r="Z414" s="1"/>
      <c r="AB414" s="2">
        <v>0</v>
      </c>
      <c r="AF414" s="2" t="s">
        <v>606</v>
      </c>
    </row>
    <row r="415" spans="1:38" s="10" customFormat="1" ht="17.5" x14ac:dyDescent="0.35">
      <c r="A415" s="10" t="s">
        <v>604</v>
      </c>
      <c r="B415" s="10" t="s">
        <v>1029</v>
      </c>
      <c r="C415" s="10" t="s">
        <v>40</v>
      </c>
      <c r="D415" s="10">
        <v>14</v>
      </c>
      <c r="E415" s="10" t="s">
        <v>1151</v>
      </c>
      <c r="F415" s="10" t="s">
        <v>1150</v>
      </c>
      <c r="G415" s="12" t="s">
        <v>53</v>
      </c>
      <c r="H415" s="10" t="s">
        <v>1077</v>
      </c>
      <c r="L415" s="10">
        <v>14</v>
      </c>
      <c r="M415" s="1"/>
      <c r="O415" s="56"/>
      <c r="P415" s="1"/>
      <c r="Q415" s="59"/>
      <c r="S415" s="10" t="s">
        <v>45</v>
      </c>
      <c r="U415" s="10">
        <v>2030</v>
      </c>
      <c r="V415" s="10">
        <v>1</v>
      </c>
      <c r="W415" s="10">
        <v>1</v>
      </c>
      <c r="X415" s="10" t="s">
        <v>32</v>
      </c>
      <c r="Y415" s="10" t="s">
        <v>32</v>
      </c>
      <c r="AB415" s="10">
        <v>0</v>
      </c>
      <c r="AF415" s="10" t="s">
        <v>606</v>
      </c>
    </row>
    <row r="416" spans="1:38" s="10" customFormat="1" ht="17.5" x14ac:dyDescent="0.35">
      <c r="A416" s="10" t="s">
        <v>604</v>
      </c>
      <c r="B416" s="10" t="s">
        <v>1030</v>
      </c>
      <c r="C416" s="10" t="s">
        <v>607</v>
      </c>
      <c r="D416" s="10" t="s">
        <v>352</v>
      </c>
      <c r="E416" s="10" t="s">
        <v>1097</v>
      </c>
      <c r="F416" s="10" t="s">
        <v>1097</v>
      </c>
      <c r="G416" s="12" t="s">
        <v>1124</v>
      </c>
      <c r="H416" s="10" t="s">
        <v>1076</v>
      </c>
      <c r="L416" s="10" t="s">
        <v>352</v>
      </c>
      <c r="M416" s="1"/>
      <c r="O416" s="56"/>
      <c r="P416" s="1" t="s">
        <v>352</v>
      </c>
      <c r="Q416" s="59"/>
      <c r="S416" s="10" t="s">
        <v>45</v>
      </c>
      <c r="U416" s="10">
        <v>2030</v>
      </c>
      <c r="V416" s="10">
        <v>1</v>
      </c>
      <c r="W416" s="10">
        <v>1</v>
      </c>
      <c r="X416" s="10" t="s">
        <v>32</v>
      </c>
      <c r="Y416" s="10" t="s">
        <v>32</v>
      </c>
      <c r="AB416" s="10">
        <v>0</v>
      </c>
      <c r="AF416" s="10" t="s">
        <v>606</v>
      </c>
    </row>
    <row r="417" spans="1:36" s="2" customFormat="1" hidden="1" x14ac:dyDescent="0.35">
      <c r="A417" s="2" t="s">
        <v>604</v>
      </c>
      <c r="B417" s="2" t="s">
        <v>1031</v>
      </c>
      <c r="C417" s="26"/>
      <c r="D417" s="26"/>
      <c r="E417" s="26"/>
      <c r="F417" s="26"/>
      <c r="G417" s="26"/>
      <c r="H417" s="10"/>
      <c r="I417" s="10"/>
      <c r="J417" s="10"/>
      <c r="K417" s="1"/>
      <c r="M417" s="10"/>
      <c r="Q417" s="10"/>
      <c r="S417" s="1"/>
      <c r="T417" s="1"/>
      <c r="U417" s="1"/>
      <c r="V417" s="1"/>
      <c r="W417" s="1"/>
      <c r="X417" s="1"/>
      <c r="Y417" s="1"/>
      <c r="Z417" s="1"/>
    </row>
    <row r="418" spans="1:36" s="2" customFormat="1" hidden="1" x14ac:dyDescent="0.35">
      <c r="A418" s="2" t="s">
        <v>608</v>
      </c>
      <c r="B418" s="2" t="s">
        <v>1028</v>
      </c>
      <c r="C418" s="26" t="s">
        <v>609</v>
      </c>
      <c r="D418" s="26"/>
      <c r="E418" s="26"/>
      <c r="F418" s="26"/>
      <c r="G418" s="26"/>
      <c r="H418" s="10"/>
      <c r="I418" s="10"/>
      <c r="J418" s="10"/>
      <c r="K418" s="1"/>
      <c r="M418" s="10"/>
      <c r="Q418" s="10"/>
      <c r="S418" s="1"/>
      <c r="T418" s="1"/>
      <c r="U418" s="1"/>
      <c r="V418" s="1">
        <v>1</v>
      </c>
      <c r="W418" s="1">
        <v>1</v>
      </c>
      <c r="X418" s="1"/>
      <c r="Y418" s="1"/>
      <c r="Z418" s="1"/>
      <c r="AF418" s="2" t="s">
        <v>610</v>
      </c>
    </row>
    <row r="419" spans="1:36" s="10" customFormat="1" x14ac:dyDescent="0.35">
      <c r="A419" s="10" t="s">
        <v>608</v>
      </c>
      <c r="B419" s="10" t="s">
        <v>1029</v>
      </c>
      <c r="C419" s="10" t="s">
        <v>401</v>
      </c>
      <c r="I419" s="22" t="s">
        <v>1085</v>
      </c>
      <c r="M419" s="1"/>
      <c r="O419" s="56"/>
      <c r="P419" s="1"/>
      <c r="Q419" s="59"/>
      <c r="V419" s="10">
        <v>1</v>
      </c>
      <c r="W419" s="10">
        <v>1</v>
      </c>
      <c r="AF419" s="10" t="s">
        <v>610</v>
      </c>
    </row>
    <row r="420" spans="1:36" s="10" customFormat="1" ht="17.5" x14ac:dyDescent="0.35">
      <c r="A420" s="10" t="s">
        <v>608</v>
      </c>
      <c r="B420" s="10" t="s">
        <v>1030</v>
      </c>
      <c r="C420" s="10" t="s">
        <v>611</v>
      </c>
      <c r="D420" s="10" t="s">
        <v>612</v>
      </c>
      <c r="E420" s="10" t="s">
        <v>1152</v>
      </c>
      <c r="F420" s="10" t="s">
        <v>1153</v>
      </c>
      <c r="G420" s="12" t="s">
        <v>1154</v>
      </c>
      <c r="H420" s="10" t="s">
        <v>1077</v>
      </c>
      <c r="L420" s="10" t="s">
        <v>612</v>
      </c>
      <c r="M420" s="1"/>
      <c r="N420" s="10">
        <v>6</v>
      </c>
      <c r="O420" s="56"/>
      <c r="P420" s="1" t="s">
        <v>613</v>
      </c>
      <c r="Q420" s="59"/>
      <c r="S420" s="10" t="s">
        <v>45</v>
      </c>
      <c r="U420" s="10">
        <v>2040</v>
      </c>
      <c r="V420" s="10">
        <v>1</v>
      </c>
      <c r="W420" s="10">
        <v>1</v>
      </c>
      <c r="X420" s="10" t="s">
        <v>32</v>
      </c>
      <c r="Y420" s="10" t="s">
        <v>32</v>
      </c>
      <c r="AB420" s="10">
        <v>0</v>
      </c>
      <c r="AF420" s="10" t="s">
        <v>614</v>
      </c>
      <c r="AI420" s="10" t="s">
        <v>615</v>
      </c>
      <c r="AJ420" s="10" t="s">
        <v>616</v>
      </c>
    </row>
    <row r="421" spans="1:36" s="2" customFormat="1" hidden="1" x14ac:dyDescent="0.35">
      <c r="A421" s="2" t="s">
        <v>608</v>
      </c>
      <c r="B421" s="2" t="s">
        <v>1031</v>
      </c>
      <c r="C421" s="26"/>
      <c r="D421" s="26"/>
      <c r="E421" s="26"/>
      <c r="F421" s="26"/>
      <c r="G421" s="26"/>
      <c r="H421" s="10"/>
      <c r="I421" s="10"/>
      <c r="J421" s="10"/>
      <c r="K421" s="1"/>
      <c r="M421" s="10"/>
      <c r="Q421" s="10"/>
      <c r="S421" s="1"/>
      <c r="T421" s="1"/>
      <c r="U421" s="1"/>
      <c r="V421" s="1"/>
      <c r="W421" s="1"/>
      <c r="X421" s="1"/>
      <c r="Y421" s="1"/>
      <c r="Z421" s="1"/>
    </row>
    <row r="422" spans="1:36" s="2" customFormat="1" hidden="1" x14ac:dyDescent="0.35">
      <c r="A422" s="2" t="s">
        <v>617</v>
      </c>
      <c r="B422" s="2" t="s">
        <v>1028</v>
      </c>
      <c r="C422" s="26" t="s">
        <v>618</v>
      </c>
      <c r="D422" s="26" t="s">
        <v>619</v>
      </c>
      <c r="E422" s="26"/>
      <c r="F422" s="26"/>
      <c r="G422" s="26" t="s">
        <v>53</v>
      </c>
      <c r="H422" s="10" t="s">
        <v>1077</v>
      </c>
      <c r="I422" s="10"/>
      <c r="J422" s="10"/>
      <c r="K422" s="1"/>
      <c r="L422" s="2" t="s">
        <v>619</v>
      </c>
      <c r="M422" s="10"/>
      <c r="N422" s="2">
        <v>35</v>
      </c>
      <c r="P422" s="2">
        <v>10</v>
      </c>
      <c r="Q422" s="10"/>
      <c r="S422" s="1"/>
      <c r="T422" s="1">
        <v>2005</v>
      </c>
      <c r="U422" s="1">
        <v>2030</v>
      </c>
      <c r="V422" s="1">
        <v>1</v>
      </c>
      <c r="W422" s="1">
        <v>1</v>
      </c>
      <c r="X422" s="1" t="s">
        <v>51</v>
      </c>
      <c r="Y422" s="2" t="s">
        <v>283</v>
      </c>
      <c r="AB422" s="2">
        <v>0</v>
      </c>
      <c r="AF422" s="2" t="s">
        <v>620</v>
      </c>
    </row>
    <row r="423" spans="1:36" s="10" customFormat="1" x14ac:dyDescent="0.35">
      <c r="A423" s="10" t="s">
        <v>617</v>
      </c>
      <c r="B423" s="10" t="s">
        <v>1029</v>
      </c>
      <c r="C423" s="10" t="s">
        <v>621</v>
      </c>
      <c r="D423" s="10" t="s">
        <v>619</v>
      </c>
      <c r="E423" s="10" t="s">
        <v>1152</v>
      </c>
      <c r="F423" s="10" t="s">
        <v>1153</v>
      </c>
      <c r="G423" s="10" t="s">
        <v>53</v>
      </c>
      <c r="H423" s="10" t="s">
        <v>1077</v>
      </c>
      <c r="L423" s="10" t="s">
        <v>619</v>
      </c>
      <c r="M423" s="1"/>
      <c r="N423" s="10">
        <v>35</v>
      </c>
      <c r="O423" s="56"/>
      <c r="P423" s="1">
        <v>10</v>
      </c>
      <c r="Q423" s="59"/>
      <c r="T423" s="10">
        <v>2005</v>
      </c>
      <c r="U423" s="10">
        <v>2030</v>
      </c>
      <c r="V423" s="10">
        <v>1</v>
      </c>
      <c r="W423" s="10">
        <v>1</v>
      </c>
      <c r="X423" s="10" t="s">
        <v>51</v>
      </c>
      <c r="Y423" s="10" t="s">
        <v>283</v>
      </c>
      <c r="AB423" s="10">
        <v>0</v>
      </c>
      <c r="AF423" s="10" t="s">
        <v>620</v>
      </c>
    </row>
    <row r="424" spans="1:36" s="10" customFormat="1" x14ac:dyDescent="0.35">
      <c r="A424" s="10" t="s">
        <v>617</v>
      </c>
      <c r="B424" s="10" t="s">
        <v>1030</v>
      </c>
      <c r="C424" s="10" t="s">
        <v>144</v>
      </c>
      <c r="D424" s="10" t="s">
        <v>619</v>
      </c>
      <c r="E424" s="10" t="s">
        <v>1091</v>
      </c>
      <c r="F424" s="10" t="s">
        <v>1091</v>
      </c>
      <c r="G424" s="10" t="s">
        <v>53</v>
      </c>
      <c r="H424" s="10" t="s">
        <v>1077</v>
      </c>
      <c r="L424" s="10" t="s">
        <v>619</v>
      </c>
      <c r="M424" s="1"/>
      <c r="N424" s="10">
        <v>35</v>
      </c>
      <c r="O424" s="56"/>
      <c r="P424" s="1">
        <v>10</v>
      </c>
      <c r="Q424" s="59"/>
      <c r="T424" s="10">
        <v>2005</v>
      </c>
      <c r="U424" s="10">
        <v>2030</v>
      </c>
      <c r="V424" s="10">
        <v>1</v>
      </c>
      <c r="W424" s="10">
        <v>1</v>
      </c>
      <c r="X424" s="10" t="s">
        <v>51</v>
      </c>
      <c r="Y424" s="10" t="s">
        <v>283</v>
      </c>
      <c r="AB424" s="10">
        <v>0</v>
      </c>
      <c r="AF424" s="10" t="s">
        <v>622</v>
      </c>
    </row>
    <row r="425" spans="1:36" s="2" customFormat="1" ht="17" hidden="1" x14ac:dyDescent="0.35">
      <c r="A425" s="2" t="s">
        <v>617</v>
      </c>
      <c r="B425" s="2" t="s">
        <v>1031</v>
      </c>
      <c r="C425" s="30" t="s">
        <v>1053</v>
      </c>
      <c r="D425" s="26"/>
      <c r="E425" s="26"/>
      <c r="F425" s="26"/>
      <c r="G425" s="26"/>
      <c r="H425" s="10"/>
      <c r="I425" s="14"/>
      <c r="J425" s="14"/>
      <c r="K425" s="18"/>
      <c r="M425" s="10">
        <v>22500</v>
      </c>
      <c r="Q425" s="10"/>
      <c r="S425" s="1"/>
      <c r="T425" s="1"/>
      <c r="U425" s="1">
        <v>2035</v>
      </c>
      <c r="V425" s="1">
        <v>1</v>
      </c>
      <c r="W425" s="1">
        <v>1</v>
      </c>
      <c r="X425" s="1" t="s">
        <v>78</v>
      </c>
      <c r="Y425" s="1" t="s">
        <v>78</v>
      </c>
      <c r="Z425" s="1" t="s">
        <v>1074</v>
      </c>
      <c r="AB425" s="2">
        <v>0</v>
      </c>
    </row>
    <row r="426" spans="1:36" s="2" customFormat="1" hidden="1" x14ac:dyDescent="0.35">
      <c r="A426" s="2" t="s">
        <v>623</v>
      </c>
      <c r="B426" s="2" t="s">
        <v>1028</v>
      </c>
      <c r="C426" s="26" t="s">
        <v>550</v>
      </c>
      <c r="D426" s="26">
        <v>24</v>
      </c>
      <c r="E426" s="26"/>
      <c r="F426" s="26"/>
      <c r="G426" s="26" t="s">
        <v>53</v>
      </c>
      <c r="H426" s="10" t="s">
        <v>1077</v>
      </c>
      <c r="I426" s="10"/>
      <c r="J426" s="10"/>
      <c r="K426" s="1"/>
      <c r="L426" s="2">
        <v>24</v>
      </c>
      <c r="M426" s="10"/>
      <c r="N426" s="2">
        <v>10</v>
      </c>
      <c r="P426" s="2">
        <v>14</v>
      </c>
      <c r="Q426" s="10"/>
      <c r="S426" s="1" t="s">
        <v>45</v>
      </c>
      <c r="T426" s="1"/>
      <c r="U426" s="1">
        <v>2030</v>
      </c>
      <c r="V426" s="1">
        <v>1</v>
      </c>
      <c r="W426" s="1">
        <v>1</v>
      </c>
      <c r="X426" s="1" t="s">
        <v>32</v>
      </c>
      <c r="Y426" s="1" t="s">
        <v>32</v>
      </c>
      <c r="Z426" s="1"/>
      <c r="AB426" s="2">
        <v>0</v>
      </c>
      <c r="AF426" s="2" t="s">
        <v>624</v>
      </c>
    </row>
    <row r="427" spans="1:36" s="10" customFormat="1" x14ac:dyDescent="0.35">
      <c r="A427" s="10" t="s">
        <v>623</v>
      </c>
      <c r="B427" s="10" t="s">
        <v>1029</v>
      </c>
      <c r="C427" s="10" t="s">
        <v>143</v>
      </c>
      <c r="D427" s="10">
        <v>24</v>
      </c>
      <c r="E427" s="10" t="s">
        <v>1096</v>
      </c>
      <c r="F427" s="10" t="s">
        <v>1153</v>
      </c>
      <c r="G427" s="10" t="s">
        <v>53</v>
      </c>
      <c r="H427" s="10" t="s">
        <v>1077</v>
      </c>
      <c r="L427" s="36">
        <v>24</v>
      </c>
      <c r="M427" s="1"/>
      <c r="N427" s="10">
        <v>10</v>
      </c>
      <c r="O427" s="56"/>
      <c r="P427" s="1">
        <v>14</v>
      </c>
      <c r="Q427" s="59"/>
      <c r="S427" s="10" t="s">
        <v>45</v>
      </c>
      <c r="U427" s="10">
        <v>2030</v>
      </c>
      <c r="V427" s="10">
        <v>1</v>
      </c>
      <c r="W427" s="10">
        <v>1</v>
      </c>
      <c r="X427" s="10" t="s">
        <v>32</v>
      </c>
      <c r="Y427" s="10" t="s">
        <v>32</v>
      </c>
      <c r="AB427" s="10">
        <v>0</v>
      </c>
      <c r="AF427" s="10" t="s">
        <v>624</v>
      </c>
    </row>
    <row r="428" spans="1:36" s="1" customFormat="1" x14ac:dyDescent="0.35">
      <c r="A428" s="1" t="s">
        <v>623</v>
      </c>
      <c r="B428" s="1" t="s">
        <v>1030</v>
      </c>
      <c r="C428" s="1" t="s">
        <v>557</v>
      </c>
      <c r="D428" s="1" t="s">
        <v>494</v>
      </c>
      <c r="E428" s="1" t="s">
        <v>1097</v>
      </c>
      <c r="F428" s="10" t="s">
        <v>1097</v>
      </c>
      <c r="G428" s="1" t="s">
        <v>53</v>
      </c>
      <c r="H428" s="10" t="s">
        <v>1076</v>
      </c>
      <c r="L428" s="1" t="s">
        <v>494</v>
      </c>
      <c r="O428" s="56"/>
      <c r="P428" s="1">
        <v>26</v>
      </c>
      <c r="Q428" s="59"/>
      <c r="S428" s="1" t="s">
        <v>45</v>
      </c>
      <c r="U428" s="1">
        <v>2030</v>
      </c>
      <c r="V428" s="1">
        <v>1</v>
      </c>
      <c r="W428" s="1">
        <v>1</v>
      </c>
      <c r="X428" s="1" t="s">
        <v>32</v>
      </c>
      <c r="Y428" s="1" t="s">
        <v>32</v>
      </c>
      <c r="AB428" s="1">
        <v>0</v>
      </c>
      <c r="AF428" s="1" t="s">
        <v>625</v>
      </c>
    </row>
    <row r="429" spans="1:36" s="2" customFormat="1" hidden="1" x14ac:dyDescent="0.35">
      <c r="A429" s="2" t="s">
        <v>623</v>
      </c>
      <c r="B429" s="2" t="s">
        <v>1031</v>
      </c>
      <c r="C429" s="26"/>
      <c r="D429" s="26"/>
      <c r="E429" s="26"/>
      <c r="F429" s="26"/>
      <c r="G429" s="26"/>
      <c r="H429" s="10" t="s">
        <v>1077</v>
      </c>
      <c r="I429" s="10"/>
      <c r="J429" s="10"/>
      <c r="K429" s="1"/>
      <c r="M429" s="11">
        <v>6030</v>
      </c>
      <c r="O429" s="6">
        <v>1520</v>
      </c>
      <c r="Q429" s="10"/>
      <c r="S429" s="1"/>
      <c r="T429" s="1"/>
      <c r="U429" s="1">
        <v>2030</v>
      </c>
      <c r="V429" s="1">
        <v>1</v>
      </c>
      <c r="W429" s="1">
        <v>1</v>
      </c>
      <c r="X429" s="1" t="s">
        <v>32</v>
      </c>
      <c r="Y429" s="1" t="s">
        <v>32</v>
      </c>
      <c r="Z429" s="1"/>
      <c r="AB429" s="2">
        <v>0</v>
      </c>
    </row>
    <row r="430" spans="1:36" s="2" customFormat="1" hidden="1" x14ac:dyDescent="0.35">
      <c r="A430" s="2" t="s">
        <v>626</v>
      </c>
      <c r="B430" s="2" t="s">
        <v>1028</v>
      </c>
      <c r="C430" s="26" t="s">
        <v>83</v>
      </c>
      <c r="D430" s="26"/>
      <c r="E430" s="26"/>
      <c r="F430" s="26"/>
      <c r="G430" s="26" t="s">
        <v>129</v>
      </c>
      <c r="H430" s="10"/>
      <c r="I430" s="10"/>
      <c r="J430" s="10"/>
      <c r="K430" s="1"/>
      <c r="M430" s="10"/>
      <c r="Q430" s="10"/>
      <c r="S430" s="1" t="s">
        <v>45</v>
      </c>
      <c r="T430" s="1"/>
      <c r="U430" s="1">
        <v>2030</v>
      </c>
      <c r="V430" s="1">
        <v>1</v>
      </c>
      <c r="W430" s="1">
        <v>1</v>
      </c>
      <c r="X430" s="1" t="s">
        <v>32</v>
      </c>
      <c r="Y430" s="1" t="s">
        <v>32</v>
      </c>
      <c r="Z430" s="1"/>
      <c r="AB430" s="2">
        <v>0</v>
      </c>
      <c r="AF430" s="2" t="s">
        <v>627</v>
      </c>
      <c r="AG430" s="2" t="s">
        <v>628</v>
      </c>
    </row>
    <row r="431" spans="1:36" s="1" customFormat="1" x14ac:dyDescent="0.35">
      <c r="A431" s="1" t="s">
        <v>626</v>
      </c>
      <c r="B431" s="1" t="s">
        <v>1029</v>
      </c>
      <c r="C431" s="1" t="s">
        <v>629</v>
      </c>
      <c r="D431" s="1">
        <v>27</v>
      </c>
      <c r="E431" s="1" t="s">
        <v>1155</v>
      </c>
      <c r="F431" s="1" t="s">
        <v>1136</v>
      </c>
      <c r="G431" s="1" t="s">
        <v>129</v>
      </c>
      <c r="H431" s="10" t="s">
        <v>1077</v>
      </c>
      <c r="L431" s="1">
        <v>27</v>
      </c>
      <c r="P431" s="1">
        <v>27</v>
      </c>
      <c r="S431" s="1" t="s">
        <v>45</v>
      </c>
      <c r="U431" s="1">
        <v>2030</v>
      </c>
      <c r="V431" s="1">
        <v>1</v>
      </c>
      <c r="W431" s="1">
        <v>1</v>
      </c>
      <c r="X431" s="1" t="s">
        <v>32</v>
      </c>
      <c r="Y431" s="1" t="s">
        <v>32</v>
      </c>
      <c r="AB431" s="1">
        <v>0</v>
      </c>
      <c r="AF431" s="1" t="s">
        <v>627</v>
      </c>
      <c r="AG431" s="1" t="s">
        <v>628</v>
      </c>
      <c r="AJ431" s="1" t="s">
        <v>630</v>
      </c>
    </row>
    <row r="432" spans="1:36" s="1" customFormat="1" ht="17" x14ac:dyDescent="0.35">
      <c r="A432" s="1" t="s">
        <v>626</v>
      </c>
      <c r="B432" s="1" t="s">
        <v>1030</v>
      </c>
      <c r="C432" s="53">
        <v>44510</v>
      </c>
      <c r="D432" s="1">
        <v>31.5</v>
      </c>
      <c r="E432" s="1" t="s">
        <v>1157</v>
      </c>
      <c r="F432" s="1" t="s">
        <v>1097</v>
      </c>
      <c r="G432" s="1" t="s">
        <v>129</v>
      </c>
      <c r="H432" s="1" t="s">
        <v>1076</v>
      </c>
      <c r="L432" s="1">
        <v>31.5</v>
      </c>
      <c r="P432" s="1">
        <v>31.5</v>
      </c>
      <c r="S432" s="1" t="s">
        <v>45</v>
      </c>
      <c r="U432" s="1">
        <v>2030</v>
      </c>
      <c r="V432" s="1">
        <v>1</v>
      </c>
      <c r="W432" s="1">
        <v>1</v>
      </c>
      <c r="X432" s="1" t="s">
        <v>32</v>
      </c>
      <c r="Y432" s="1" t="s">
        <v>32</v>
      </c>
      <c r="AB432" s="1">
        <v>0</v>
      </c>
      <c r="AF432" s="1" t="s">
        <v>487</v>
      </c>
      <c r="AG432" s="1" t="s">
        <v>631</v>
      </c>
      <c r="AJ432" s="1" t="s">
        <v>632</v>
      </c>
    </row>
    <row r="433" spans="1:38" s="2" customFormat="1" hidden="1" x14ac:dyDescent="0.35">
      <c r="A433" s="2" t="s">
        <v>626</v>
      </c>
      <c r="B433" s="2" t="s">
        <v>1031</v>
      </c>
      <c r="C433" s="26"/>
      <c r="D433" s="26"/>
      <c r="E433" s="26"/>
      <c r="F433" s="26"/>
      <c r="G433" s="26"/>
      <c r="H433" s="10"/>
      <c r="I433" s="10"/>
      <c r="J433" s="10"/>
      <c r="K433" s="1"/>
      <c r="M433" s="10"/>
      <c r="Q433" s="10"/>
      <c r="S433" s="1"/>
      <c r="T433" s="1"/>
      <c r="U433" s="1"/>
      <c r="V433" s="1"/>
      <c r="W433" s="1"/>
      <c r="X433" s="1"/>
      <c r="Y433" s="1"/>
      <c r="Z433" s="1"/>
    </row>
    <row r="434" spans="1:38" s="2" customFormat="1" hidden="1" x14ac:dyDescent="0.35">
      <c r="A434" s="2" t="s">
        <v>633</v>
      </c>
      <c r="B434" s="2" t="s">
        <v>1028</v>
      </c>
      <c r="C434" s="26"/>
      <c r="D434" s="26"/>
      <c r="E434" s="26"/>
      <c r="F434" s="26"/>
      <c r="G434" s="26"/>
      <c r="H434" s="10"/>
      <c r="I434" s="10"/>
      <c r="J434" s="10"/>
      <c r="K434" s="1"/>
      <c r="M434" s="10"/>
      <c r="Q434" s="10"/>
      <c r="S434" s="1"/>
      <c r="T434" s="1"/>
      <c r="U434" s="1"/>
      <c r="V434" s="1"/>
      <c r="W434" s="1"/>
      <c r="X434" s="1"/>
      <c r="Y434" s="1"/>
      <c r="Z434" s="1"/>
    </row>
    <row r="435" spans="1:38" s="10" customFormat="1" ht="17" x14ac:dyDescent="0.35">
      <c r="A435" s="10" t="s">
        <v>633</v>
      </c>
      <c r="B435" s="10" t="s">
        <v>1029</v>
      </c>
      <c r="C435" s="33">
        <v>42500</v>
      </c>
      <c r="D435" s="10">
        <v>40</v>
      </c>
      <c r="E435" s="10" t="s">
        <v>1140</v>
      </c>
      <c r="F435" s="10" t="s">
        <v>1140</v>
      </c>
      <c r="G435" s="10" t="s">
        <v>53</v>
      </c>
      <c r="H435" s="10" t="s">
        <v>1078</v>
      </c>
      <c r="L435" s="10">
        <v>40</v>
      </c>
      <c r="M435" s="1"/>
      <c r="N435" s="10">
        <v>40</v>
      </c>
      <c r="O435" s="56"/>
      <c r="P435" s="1"/>
      <c r="Q435" s="59"/>
      <c r="T435" s="10">
        <v>1990</v>
      </c>
      <c r="U435" s="10">
        <v>2030</v>
      </c>
      <c r="V435" s="10">
        <v>0</v>
      </c>
      <c r="W435" s="10">
        <v>0</v>
      </c>
      <c r="X435" s="10" t="s">
        <v>51</v>
      </c>
      <c r="Y435" s="10" t="s">
        <v>51</v>
      </c>
      <c r="AB435" s="10">
        <v>1</v>
      </c>
      <c r="AC435" s="10">
        <v>2050</v>
      </c>
      <c r="AF435" s="10" t="s">
        <v>215</v>
      </c>
      <c r="AL435" s="10" t="s">
        <v>101</v>
      </c>
    </row>
    <row r="436" spans="1:38" s="10" customFormat="1" x14ac:dyDescent="0.35">
      <c r="A436" s="10" t="s">
        <v>633</v>
      </c>
      <c r="B436" s="10" t="s">
        <v>1030</v>
      </c>
      <c r="C436" s="10" t="s">
        <v>102</v>
      </c>
      <c r="D436" s="10" t="s">
        <v>342</v>
      </c>
      <c r="E436" s="10" t="s">
        <v>1140</v>
      </c>
      <c r="F436" s="10" t="s">
        <v>1140</v>
      </c>
      <c r="G436" s="10" t="s">
        <v>53</v>
      </c>
      <c r="H436" s="10" t="s">
        <v>1078</v>
      </c>
      <c r="L436" s="10" t="s">
        <v>342</v>
      </c>
      <c r="M436" s="1"/>
      <c r="N436" s="10" t="s">
        <v>342</v>
      </c>
      <c r="O436" s="56"/>
      <c r="P436" s="1"/>
      <c r="Q436" s="59"/>
      <c r="T436" s="10">
        <v>1990</v>
      </c>
      <c r="U436" s="10">
        <v>2030</v>
      </c>
      <c r="V436" s="10">
        <v>0</v>
      </c>
      <c r="W436" s="10">
        <v>0</v>
      </c>
      <c r="X436" s="10" t="s">
        <v>51</v>
      </c>
      <c r="Y436" s="10" t="s">
        <v>51</v>
      </c>
      <c r="AB436" s="10">
        <v>1</v>
      </c>
      <c r="AC436" s="10">
        <v>2050</v>
      </c>
      <c r="AF436" s="10" t="s">
        <v>215</v>
      </c>
      <c r="AL436" s="10" t="s">
        <v>343</v>
      </c>
    </row>
    <row r="437" spans="1:38" s="2" customFormat="1" hidden="1" x14ac:dyDescent="0.35">
      <c r="A437" s="2" t="s">
        <v>633</v>
      </c>
      <c r="B437" s="2" t="s">
        <v>1031</v>
      </c>
      <c r="C437" s="26"/>
      <c r="D437" s="26"/>
      <c r="E437" s="26"/>
      <c r="F437" s="26"/>
      <c r="G437" s="26"/>
      <c r="H437" s="10"/>
      <c r="I437" s="10"/>
      <c r="J437" s="10"/>
      <c r="K437" s="1"/>
      <c r="M437" s="10"/>
      <c r="Q437" s="10"/>
      <c r="S437" s="1"/>
      <c r="T437" s="1"/>
      <c r="U437" s="1"/>
      <c r="V437" s="1"/>
      <c r="W437" s="1"/>
      <c r="X437" s="1"/>
      <c r="Y437" s="1"/>
      <c r="Z437" s="1"/>
    </row>
    <row r="438" spans="1:38" s="2" customFormat="1" hidden="1" x14ac:dyDescent="0.35">
      <c r="A438" s="2" t="s">
        <v>634</v>
      </c>
      <c r="B438" s="2" t="s">
        <v>1028</v>
      </c>
      <c r="C438" s="26" t="s">
        <v>635</v>
      </c>
      <c r="D438" s="26" t="s">
        <v>619</v>
      </c>
      <c r="E438" s="26"/>
      <c r="F438" s="26"/>
      <c r="G438" s="26" t="s">
        <v>389</v>
      </c>
      <c r="H438" s="10" t="s">
        <v>1077</v>
      </c>
      <c r="I438" s="10"/>
      <c r="J438" s="10"/>
      <c r="K438" s="1"/>
      <c r="L438" s="2" t="s">
        <v>619</v>
      </c>
      <c r="M438" s="10"/>
      <c r="Q438" s="10"/>
      <c r="R438" s="2">
        <v>32</v>
      </c>
      <c r="S438" s="1"/>
      <c r="T438" s="1">
        <v>2010</v>
      </c>
      <c r="U438" s="1">
        <v>2030</v>
      </c>
      <c r="V438" s="1">
        <v>1</v>
      </c>
      <c r="W438" s="1">
        <v>1</v>
      </c>
      <c r="X438" s="1" t="s">
        <v>51</v>
      </c>
      <c r="Y438" s="1" t="s">
        <v>51</v>
      </c>
      <c r="Z438" s="1"/>
      <c r="AA438" s="2">
        <v>2025</v>
      </c>
      <c r="AB438" s="2">
        <v>0</v>
      </c>
      <c r="AF438" s="2" t="s">
        <v>636</v>
      </c>
    </row>
    <row r="439" spans="1:38" s="10" customFormat="1" x14ac:dyDescent="0.35">
      <c r="A439" s="10" t="s">
        <v>634</v>
      </c>
      <c r="B439" s="10" t="s">
        <v>1029</v>
      </c>
      <c r="C439" s="10" t="s">
        <v>143</v>
      </c>
      <c r="D439" s="10" t="s">
        <v>619</v>
      </c>
      <c r="E439" s="10" t="s">
        <v>1158</v>
      </c>
      <c r="F439" s="10" t="s">
        <v>1150</v>
      </c>
      <c r="G439" s="10" t="s">
        <v>389</v>
      </c>
      <c r="H439" s="10" t="s">
        <v>1077</v>
      </c>
      <c r="L439" s="10" t="s">
        <v>619</v>
      </c>
      <c r="M439" s="1"/>
      <c r="O439" s="56"/>
      <c r="P439" s="1"/>
      <c r="Q439" s="59"/>
      <c r="R439" s="10">
        <v>32</v>
      </c>
      <c r="T439" s="10">
        <v>2010</v>
      </c>
      <c r="U439" s="10">
        <v>2030</v>
      </c>
      <c r="V439" s="10">
        <v>1</v>
      </c>
      <c r="W439" s="10">
        <v>1</v>
      </c>
      <c r="X439" s="10" t="s">
        <v>51</v>
      </c>
      <c r="Y439" s="10" t="s">
        <v>51</v>
      </c>
      <c r="AA439" s="10">
        <v>2025</v>
      </c>
      <c r="AB439" s="10">
        <v>0</v>
      </c>
      <c r="AF439" s="10" t="s">
        <v>636</v>
      </c>
      <c r="AJ439" s="10" t="s">
        <v>637</v>
      </c>
    </row>
    <row r="440" spans="1:38" s="10" customFormat="1" x14ac:dyDescent="0.35">
      <c r="A440" s="10" t="s">
        <v>634</v>
      </c>
      <c r="B440" s="10" t="s">
        <v>1030</v>
      </c>
      <c r="C440" s="10" t="s">
        <v>210</v>
      </c>
      <c r="D440" s="10">
        <v>45</v>
      </c>
      <c r="E440" s="10" t="s">
        <v>1158</v>
      </c>
      <c r="F440" s="10" t="s">
        <v>1150</v>
      </c>
      <c r="G440" s="10" t="s">
        <v>389</v>
      </c>
      <c r="H440" s="10" t="s">
        <v>1077</v>
      </c>
      <c r="L440" s="10">
        <v>45</v>
      </c>
      <c r="M440" s="1"/>
      <c r="O440" s="56"/>
      <c r="P440" s="1"/>
      <c r="Q440" s="59"/>
      <c r="T440" s="10">
        <v>2010</v>
      </c>
      <c r="U440" s="10">
        <v>2030</v>
      </c>
      <c r="V440" s="10">
        <v>1</v>
      </c>
      <c r="W440" s="10">
        <v>1</v>
      </c>
      <c r="X440" s="10" t="s">
        <v>51</v>
      </c>
      <c r="Y440" s="10" t="s">
        <v>51</v>
      </c>
      <c r="AB440" s="10">
        <v>0</v>
      </c>
      <c r="AF440" s="10" t="s">
        <v>638</v>
      </c>
    </row>
    <row r="441" spans="1:38" s="2" customFormat="1" hidden="1" x14ac:dyDescent="0.35">
      <c r="A441" s="2" t="s">
        <v>634</v>
      </c>
      <c r="B441" s="2" t="s">
        <v>1031</v>
      </c>
      <c r="C441" s="26" t="s">
        <v>639</v>
      </c>
      <c r="D441" s="26">
        <v>58</v>
      </c>
      <c r="E441" s="26"/>
      <c r="F441" s="26"/>
      <c r="G441" s="26" t="s">
        <v>640</v>
      </c>
      <c r="H441" s="10" t="s">
        <v>1077</v>
      </c>
      <c r="I441" s="10"/>
      <c r="J441" s="10"/>
      <c r="K441" s="1"/>
      <c r="L441" s="2">
        <v>58</v>
      </c>
      <c r="M441" s="10"/>
      <c r="Q441" s="10"/>
      <c r="S441" s="1"/>
      <c r="T441" s="1">
        <v>2010</v>
      </c>
      <c r="U441" s="1">
        <v>2035</v>
      </c>
      <c r="V441" s="1">
        <v>1</v>
      </c>
      <c r="W441" s="1">
        <v>1</v>
      </c>
      <c r="X441" s="1" t="s">
        <v>51</v>
      </c>
      <c r="Y441" s="1" t="s">
        <v>51</v>
      </c>
      <c r="Z441" s="1"/>
      <c r="AB441" s="2">
        <v>0</v>
      </c>
      <c r="AF441" s="2" t="s">
        <v>641</v>
      </c>
    </row>
    <row r="442" spans="1:38" s="2" customFormat="1" hidden="1" x14ac:dyDescent="0.35">
      <c r="A442" s="2" t="s">
        <v>642</v>
      </c>
      <c r="B442" s="2" t="s">
        <v>1028</v>
      </c>
      <c r="C442" s="26" t="s">
        <v>140</v>
      </c>
      <c r="D442" s="26">
        <v>22.3</v>
      </c>
      <c r="E442" s="26"/>
      <c r="F442" s="26"/>
      <c r="G442" s="26" t="s">
        <v>129</v>
      </c>
      <c r="H442" s="10" t="s">
        <v>1077</v>
      </c>
      <c r="I442" s="10"/>
      <c r="J442" s="10"/>
      <c r="K442" s="1"/>
      <c r="L442" s="2">
        <v>22.3</v>
      </c>
      <c r="M442" s="10"/>
      <c r="Q442" s="10"/>
      <c r="S442" s="1" t="s">
        <v>45</v>
      </c>
      <c r="T442" s="1"/>
      <c r="U442" s="1">
        <v>2030</v>
      </c>
      <c r="V442" s="1">
        <v>1</v>
      </c>
      <c r="W442" s="1">
        <v>1</v>
      </c>
      <c r="X442" s="1" t="s">
        <v>32</v>
      </c>
      <c r="Y442" s="1" t="s">
        <v>32</v>
      </c>
      <c r="Z442" s="1"/>
      <c r="AB442" s="2">
        <v>0</v>
      </c>
      <c r="AF442" s="2" t="s">
        <v>643</v>
      </c>
    </row>
    <row r="443" spans="1:38" s="10" customFormat="1" x14ac:dyDescent="0.35">
      <c r="A443" s="10" t="s">
        <v>642</v>
      </c>
      <c r="B443" s="10" t="s">
        <v>1029</v>
      </c>
      <c r="C443" s="10" t="s">
        <v>644</v>
      </c>
      <c r="D443" s="10">
        <v>22.3</v>
      </c>
      <c r="E443" s="10" t="s">
        <v>1158</v>
      </c>
      <c r="F443" s="10" t="s">
        <v>1150</v>
      </c>
      <c r="G443" s="10" t="s">
        <v>129</v>
      </c>
      <c r="H443" s="10" t="s">
        <v>1077</v>
      </c>
      <c r="L443" s="10">
        <v>22.3</v>
      </c>
      <c r="M443" s="1"/>
      <c r="O443" s="56"/>
      <c r="P443" s="1"/>
      <c r="Q443" s="59"/>
      <c r="S443" s="10" t="s">
        <v>45</v>
      </c>
      <c r="U443" s="10">
        <v>2030</v>
      </c>
      <c r="V443" s="10">
        <v>1</v>
      </c>
      <c r="W443" s="10">
        <v>1</v>
      </c>
      <c r="X443" s="10" t="s">
        <v>32</v>
      </c>
      <c r="Y443" s="10" t="s">
        <v>32</v>
      </c>
      <c r="AB443" s="10">
        <v>0</v>
      </c>
      <c r="AF443" s="10" t="s">
        <v>643</v>
      </c>
      <c r="AI443" s="10" t="s">
        <v>645</v>
      </c>
      <c r="AJ443" s="10" t="s">
        <v>646</v>
      </c>
    </row>
    <row r="444" spans="1:38" s="10" customFormat="1" ht="17" x14ac:dyDescent="0.35">
      <c r="A444" s="10" t="s">
        <v>642</v>
      </c>
      <c r="B444" s="10" t="s">
        <v>1030</v>
      </c>
      <c r="C444" s="33">
        <v>44540</v>
      </c>
      <c r="D444" s="10">
        <v>92</v>
      </c>
      <c r="E444" s="10" t="s">
        <v>1096</v>
      </c>
      <c r="F444" s="10" t="s">
        <v>1160</v>
      </c>
      <c r="G444" s="10" t="s">
        <v>53</v>
      </c>
      <c r="H444" s="10" t="s">
        <v>1077</v>
      </c>
      <c r="L444" s="10">
        <v>92</v>
      </c>
      <c r="M444" s="1"/>
      <c r="N444" s="10">
        <v>11</v>
      </c>
      <c r="O444" s="56"/>
      <c r="P444" s="1">
        <v>81</v>
      </c>
      <c r="Q444" s="59"/>
      <c r="S444" s="10" t="s">
        <v>45</v>
      </c>
      <c r="U444" s="10">
        <v>2030</v>
      </c>
      <c r="V444" s="10">
        <v>1</v>
      </c>
      <c r="W444" s="10">
        <v>1</v>
      </c>
      <c r="X444" s="10" t="s">
        <v>32</v>
      </c>
      <c r="Y444" s="10" t="s">
        <v>32</v>
      </c>
      <c r="AB444" s="10">
        <v>0</v>
      </c>
      <c r="AF444" s="10" t="s">
        <v>647</v>
      </c>
      <c r="AL444" s="10" t="s">
        <v>648</v>
      </c>
    </row>
    <row r="445" spans="1:38" s="2" customFormat="1" ht="17" hidden="1" x14ac:dyDescent="0.35">
      <c r="A445" s="2" t="s">
        <v>642</v>
      </c>
      <c r="B445" s="2" t="s">
        <v>1031</v>
      </c>
      <c r="C445" s="30" t="s">
        <v>1037</v>
      </c>
      <c r="D445" s="26">
        <v>75.8</v>
      </c>
      <c r="E445" s="26"/>
      <c r="F445" s="26"/>
      <c r="G445" s="26"/>
      <c r="H445" s="10" t="s">
        <v>1077</v>
      </c>
      <c r="I445" s="14"/>
      <c r="J445" s="14"/>
      <c r="K445" s="18"/>
      <c r="L445" s="2">
        <v>75.8</v>
      </c>
      <c r="M445" s="10"/>
      <c r="N445" s="2">
        <v>8.1</v>
      </c>
      <c r="P445" s="2">
        <v>67.7</v>
      </c>
      <c r="Q445" s="10"/>
      <c r="S445" s="1" t="s">
        <v>30</v>
      </c>
      <c r="T445" s="1"/>
      <c r="U445" s="1">
        <v>2030</v>
      </c>
      <c r="V445" s="1">
        <v>1</v>
      </c>
      <c r="W445" s="1">
        <v>1</v>
      </c>
      <c r="X445" s="1" t="s">
        <v>32</v>
      </c>
      <c r="Y445" s="1" t="s">
        <v>32</v>
      </c>
      <c r="Z445" s="1"/>
      <c r="AB445" s="2">
        <v>0</v>
      </c>
    </row>
    <row r="446" spans="1:38" s="2" customFormat="1" hidden="1" x14ac:dyDescent="0.35">
      <c r="A446" s="2" t="s">
        <v>649</v>
      </c>
      <c r="B446" s="2" t="s">
        <v>1028</v>
      </c>
      <c r="C446" s="26" t="s">
        <v>550</v>
      </c>
      <c r="D446" s="26">
        <v>30</v>
      </c>
      <c r="E446" s="26"/>
      <c r="F446" s="26"/>
      <c r="G446" s="26"/>
      <c r="H446" s="2" t="s">
        <v>1076</v>
      </c>
      <c r="I446" s="10"/>
      <c r="J446" s="10"/>
      <c r="K446" s="1"/>
      <c r="L446" s="2">
        <v>30</v>
      </c>
      <c r="M446" s="10"/>
      <c r="P446" s="2">
        <v>30</v>
      </c>
      <c r="Q446" s="10"/>
      <c r="S446" s="1" t="s">
        <v>45</v>
      </c>
      <c r="T446" s="1"/>
      <c r="U446" s="1">
        <v>2030</v>
      </c>
      <c r="V446" s="1">
        <v>1</v>
      </c>
      <c r="W446" s="1">
        <v>1</v>
      </c>
      <c r="X446" s="1" t="s">
        <v>32</v>
      </c>
      <c r="Y446" s="1" t="s">
        <v>32</v>
      </c>
      <c r="Z446" s="1"/>
      <c r="AB446" s="2">
        <v>0</v>
      </c>
      <c r="AF446" s="2" t="s">
        <v>650</v>
      </c>
    </row>
    <row r="447" spans="1:38" s="10" customFormat="1" x14ac:dyDescent="0.35">
      <c r="A447" s="10" t="s">
        <v>649</v>
      </c>
      <c r="B447" s="10" t="s">
        <v>1029</v>
      </c>
      <c r="C447" s="10" t="s">
        <v>143</v>
      </c>
      <c r="D447" s="10">
        <v>30</v>
      </c>
      <c r="E447" s="10" t="s">
        <v>1097</v>
      </c>
      <c r="F447" s="10" t="s">
        <v>1097</v>
      </c>
      <c r="G447" s="10" t="s">
        <v>38</v>
      </c>
      <c r="H447" s="10" t="s">
        <v>1076</v>
      </c>
      <c r="L447" s="10">
        <v>30</v>
      </c>
      <c r="M447" s="1"/>
      <c r="O447" s="56"/>
      <c r="P447" s="1">
        <v>30</v>
      </c>
      <c r="Q447" s="59"/>
      <c r="S447" s="10" t="s">
        <v>45</v>
      </c>
      <c r="U447" s="10">
        <v>2030</v>
      </c>
      <c r="V447" s="10">
        <v>1</v>
      </c>
      <c r="W447" s="10">
        <v>1</v>
      </c>
      <c r="X447" s="10" t="s">
        <v>32</v>
      </c>
      <c r="Y447" s="10" t="s">
        <v>32</v>
      </c>
      <c r="AB447" s="10">
        <v>0</v>
      </c>
      <c r="AF447" s="10" t="s">
        <v>650</v>
      </c>
    </row>
    <row r="448" spans="1:38" s="10" customFormat="1" ht="17" x14ac:dyDescent="0.35">
      <c r="A448" s="10" t="s">
        <v>649</v>
      </c>
      <c r="B448" s="10" t="s">
        <v>1030</v>
      </c>
      <c r="C448" s="33">
        <v>44326</v>
      </c>
      <c r="D448" s="10">
        <v>40</v>
      </c>
      <c r="E448" s="10" t="s">
        <v>1120</v>
      </c>
      <c r="F448" s="10" t="s">
        <v>1150</v>
      </c>
      <c r="G448" s="10" t="s">
        <v>53</v>
      </c>
      <c r="H448" s="10" t="s">
        <v>1076</v>
      </c>
      <c r="L448" s="10">
        <v>40</v>
      </c>
      <c r="M448" s="1"/>
      <c r="O448" s="56"/>
      <c r="P448" s="1">
        <v>40</v>
      </c>
      <c r="Q448" s="59"/>
      <c r="S448" s="10" t="s">
        <v>45</v>
      </c>
      <c r="U448" s="10">
        <v>2030</v>
      </c>
      <c r="V448" s="10">
        <v>1</v>
      </c>
      <c r="W448" s="10">
        <v>1</v>
      </c>
      <c r="X448" s="10" t="s">
        <v>32</v>
      </c>
      <c r="Y448" s="10" t="s">
        <v>32</v>
      </c>
      <c r="AB448" s="10">
        <v>0</v>
      </c>
      <c r="AF448" s="10" t="s">
        <v>650</v>
      </c>
      <c r="AI448" s="10" t="s">
        <v>651</v>
      </c>
      <c r="AJ448" s="10" t="s">
        <v>652</v>
      </c>
    </row>
    <row r="449" spans="1:38" s="2" customFormat="1" ht="17" hidden="1" x14ac:dyDescent="0.35">
      <c r="A449" s="2" t="s">
        <v>649</v>
      </c>
      <c r="B449" s="2" t="s">
        <v>1031</v>
      </c>
      <c r="C449" s="30" t="s">
        <v>1054</v>
      </c>
      <c r="D449" s="26">
        <v>40</v>
      </c>
      <c r="E449" s="26"/>
      <c r="F449" s="26"/>
      <c r="G449" s="26"/>
      <c r="H449" s="2" t="s">
        <v>1076</v>
      </c>
      <c r="I449" s="14"/>
      <c r="J449" s="14"/>
      <c r="K449" s="18"/>
      <c r="L449" s="2">
        <v>40</v>
      </c>
      <c r="M449" s="10"/>
      <c r="P449" s="2">
        <v>40</v>
      </c>
      <c r="Q449" s="10"/>
      <c r="S449" s="1" t="s">
        <v>45</v>
      </c>
      <c r="T449" s="1"/>
      <c r="U449" s="1">
        <v>2030</v>
      </c>
      <c r="V449" s="1">
        <v>1</v>
      </c>
      <c r="W449" s="1">
        <v>1</v>
      </c>
      <c r="X449" s="1" t="s">
        <v>32</v>
      </c>
      <c r="Y449" s="1" t="s">
        <v>32</v>
      </c>
      <c r="Z449" s="1"/>
      <c r="AB449" s="2">
        <v>0</v>
      </c>
    </row>
    <row r="450" spans="1:38" s="2" customFormat="1" hidden="1" x14ac:dyDescent="0.35">
      <c r="A450" s="2" t="s">
        <v>653</v>
      </c>
      <c r="B450" s="2" t="s">
        <v>1028</v>
      </c>
      <c r="C450" s="26" t="s">
        <v>654</v>
      </c>
      <c r="D450" s="26">
        <v>36</v>
      </c>
      <c r="E450" s="26"/>
      <c r="F450" s="26"/>
      <c r="G450" s="26"/>
      <c r="H450" s="10" t="s">
        <v>1077</v>
      </c>
      <c r="I450" s="10"/>
      <c r="J450" s="10"/>
      <c r="K450" s="1"/>
      <c r="L450" s="2">
        <v>36</v>
      </c>
      <c r="M450" s="10"/>
      <c r="N450" s="2">
        <v>22</v>
      </c>
      <c r="P450" s="2">
        <v>12</v>
      </c>
      <c r="Q450" s="10"/>
      <c r="S450" s="1" t="s">
        <v>45</v>
      </c>
      <c r="T450" s="1"/>
      <c r="U450" s="1">
        <v>2030</v>
      </c>
      <c r="V450" s="1">
        <v>1</v>
      </c>
      <c r="W450" s="1">
        <v>1</v>
      </c>
      <c r="X450" s="1" t="s">
        <v>32</v>
      </c>
      <c r="Y450" s="1" t="s">
        <v>32</v>
      </c>
      <c r="Z450" s="1"/>
      <c r="AB450" s="2">
        <v>0</v>
      </c>
      <c r="AF450" s="2" t="s">
        <v>381</v>
      </c>
    </row>
    <row r="451" spans="1:38" s="10" customFormat="1" x14ac:dyDescent="0.35">
      <c r="A451" s="10" t="s">
        <v>653</v>
      </c>
      <c r="B451" s="10" t="s">
        <v>1029</v>
      </c>
      <c r="C451" s="10" t="s">
        <v>655</v>
      </c>
      <c r="D451" s="10">
        <v>36</v>
      </c>
      <c r="E451" s="10" t="s">
        <v>1096</v>
      </c>
      <c r="F451" s="10" t="s">
        <v>1153</v>
      </c>
      <c r="G451" s="10" t="s">
        <v>38</v>
      </c>
      <c r="H451" s="10" t="s">
        <v>1077</v>
      </c>
      <c r="L451" s="10">
        <v>36</v>
      </c>
      <c r="M451" s="1"/>
      <c r="N451" s="10">
        <v>22</v>
      </c>
      <c r="O451" s="56"/>
      <c r="P451" s="1">
        <v>12</v>
      </c>
      <c r="Q451" s="59"/>
      <c r="S451" s="10" t="s">
        <v>45</v>
      </c>
      <c r="U451" s="10">
        <v>2030</v>
      </c>
      <c r="V451" s="10">
        <v>1</v>
      </c>
      <c r="W451" s="10">
        <v>1</v>
      </c>
      <c r="X451" s="10" t="s">
        <v>32</v>
      </c>
      <c r="Y451" s="10" t="s">
        <v>32</v>
      </c>
      <c r="AB451" s="10">
        <v>0</v>
      </c>
      <c r="AF451" s="10" t="s">
        <v>381</v>
      </c>
    </row>
    <row r="452" spans="1:38" s="10" customFormat="1" x14ac:dyDescent="0.35">
      <c r="A452" s="10" t="s">
        <v>653</v>
      </c>
      <c r="B452" s="10" t="s">
        <v>1030</v>
      </c>
      <c r="C452" s="10" t="s">
        <v>656</v>
      </c>
      <c r="D452" s="10">
        <v>35</v>
      </c>
      <c r="E452" s="10" t="s">
        <v>1096</v>
      </c>
      <c r="F452" s="10" t="s">
        <v>1153</v>
      </c>
      <c r="G452" s="10" t="s">
        <v>129</v>
      </c>
      <c r="H452" s="10" t="s">
        <v>1077</v>
      </c>
      <c r="L452" s="10">
        <v>35</v>
      </c>
      <c r="M452" s="1"/>
      <c r="N452" s="10">
        <v>30</v>
      </c>
      <c r="O452" s="56"/>
      <c r="P452" s="1">
        <v>5</v>
      </c>
      <c r="Q452" s="59"/>
      <c r="S452" s="10" t="s">
        <v>45</v>
      </c>
      <c r="U452" s="10">
        <v>2030</v>
      </c>
      <c r="V452" s="10">
        <v>1</v>
      </c>
      <c r="W452" s="10">
        <v>1</v>
      </c>
      <c r="X452" s="10" t="s">
        <v>32</v>
      </c>
      <c r="Y452" s="10" t="s">
        <v>32</v>
      </c>
      <c r="AB452" s="10">
        <v>0</v>
      </c>
      <c r="AF452" s="10" t="s">
        <v>657</v>
      </c>
    </row>
    <row r="453" spans="1:38" s="2" customFormat="1" ht="17" hidden="1" x14ac:dyDescent="0.35">
      <c r="A453" s="2" t="s">
        <v>653</v>
      </c>
      <c r="B453" s="2" t="s">
        <v>1031</v>
      </c>
      <c r="C453" s="30" t="s">
        <v>1055</v>
      </c>
      <c r="D453" s="26"/>
      <c r="E453" s="26"/>
      <c r="F453" s="26"/>
      <c r="G453" s="26"/>
      <c r="H453" s="10" t="s">
        <v>1077</v>
      </c>
      <c r="I453" s="14"/>
      <c r="J453" s="14"/>
      <c r="K453" s="18"/>
      <c r="M453" s="10">
        <v>384000</v>
      </c>
      <c r="Q453" s="10"/>
      <c r="S453" s="1"/>
      <c r="T453" s="1"/>
      <c r="U453" s="1">
        <v>2035</v>
      </c>
      <c r="V453" s="1">
        <v>1</v>
      </c>
      <c r="W453" s="1">
        <v>1</v>
      </c>
      <c r="X453" s="1" t="s">
        <v>78</v>
      </c>
      <c r="Y453" s="1" t="s">
        <v>78</v>
      </c>
      <c r="Z453" s="1"/>
      <c r="AB453" s="2">
        <v>0</v>
      </c>
    </row>
    <row r="454" spans="1:38" s="2" customFormat="1" hidden="1" x14ac:dyDescent="0.35">
      <c r="A454" s="2" t="s">
        <v>658</v>
      </c>
      <c r="B454" s="2" t="s">
        <v>1028</v>
      </c>
      <c r="C454" s="26" t="s">
        <v>123</v>
      </c>
      <c r="D454" s="26">
        <v>35</v>
      </c>
      <c r="E454" s="26"/>
      <c r="F454" s="26"/>
      <c r="G454" s="26"/>
      <c r="H454" s="10" t="s">
        <v>1077</v>
      </c>
      <c r="I454" s="10"/>
      <c r="J454" s="10"/>
      <c r="K454" s="1"/>
      <c r="L454" s="2">
        <v>35</v>
      </c>
      <c r="M454" s="10"/>
      <c r="N454" s="2">
        <v>28</v>
      </c>
      <c r="P454" s="2">
        <v>7</v>
      </c>
      <c r="Q454" s="10"/>
      <c r="S454" s="1"/>
      <c r="T454" s="1">
        <v>2000</v>
      </c>
      <c r="U454" s="1">
        <v>2025</v>
      </c>
      <c r="V454" s="1">
        <v>1</v>
      </c>
      <c r="W454" s="1">
        <v>0</v>
      </c>
      <c r="X454" s="1" t="s">
        <v>51</v>
      </c>
      <c r="Y454" s="1" t="s">
        <v>51</v>
      </c>
      <c r="Z454" s="1"/>
      <c r="AB454" s="2">
        <v>0</v>
      </c>
      <c r="AF454" s="2" t="s">
        <v>659</v>
      </c>
    </row>
    <row r="455" spans="1:38" s="10" customFormat="1" x14ac:dyDescent="0.35">
      <c r="A455" s="10" t="s">
        <v>658</v>
      </c>
      <c r="B455" s="10" t="s">
        <v>1029</v>
      </c>
      <c r="C455" s="10" t="s">
        <v>660</v>
      </c>
      <c r="D455" s="10">
        <v>35</v>
      </c>
      <c r="E455" s="10" t="s">
        <v>1096</v>
      </c>
      <c r="F455" s="10" t="s">
        <v>1153</v>
      </c>
      <c r="G455" s="10" t="s">
        <v>38</v>
      </c>
      <c r="H455" s="10" t="s">
        <v>1077</v>
      </c>
      <c r="L455" s="10">
        <v>35</v>
      </c>
      <c r="M455" s="1"/>
      <c r="N455" s="10">
        <v>28</v>
      </c>
      <c r="O455" s="56"/>
      <c r="P455" s="1">
        <v>7</v>
      </c>
      <c r="Q455" s="59"/>
      <c r="T455" s="10">
        <v>2000</v>
      </c>
      <c r="U455" s="10">
        <v>2025</v>
      </c>
      <c r="V455" s="10">
        <v>1</v>
      </c>
      <c r="W455" s="10">
        <v>0</v>
      </c>
      <c r="X455" s="10" t="s">
        <v>51</v>
      </c>
      <c r="Y455" s="10" t="s">
        <v>51</v>
      </c>
      <c r="AB455" s="10">
        <v>0</v>
      </c>
      <c r="AF455" s="10" t="s">
        <v>659</v>
      </c>
    </row>
    <row r="456" spans="1:38" s="10" customFormat="1" x14ac:dyDescent="0.35">
      <c r="A456" s="10" t="s">
        <v>658</v>
      </c>
      <c r="B456" s="10" t="s">
        <v>1030</v>
      </c>
      <c r="C456" s="10" t="s">
        <v>661</v>
      </c>
      <c r="I456" s="10" t="s">
        <v>1085</v>
      </c>
      <c r="M456" s="1"/>
      <c r="O456" s="56"/>
      <c r="P456" s="1"/>
      <c r="Q456" s="59"/>
      <c r="T456" s="10">
        <v>2000</v>
      </c>
      <c r="U456" s="10">
        <v>2030</v>
      </c>
      <c r="V456" s="10">
        <v>1</v>
      </c>
      <c r="W456" s="10">
        <v>0</v>
      </c>
      <c r="X456" s="10" t="s">
        <v>51</v>
      </c>
      <c r="Y456" s="10" t="s">
        <v>51</v>
      </c>
      <c r="AB456" s="10">
        <v>0</v>
      </c>
      <c r="AF456" s="10" t="s">
        <v>476</v>
      </c>
      <c r="AL456" s="10" t="s">
        <v>662</v>
      </c>
    </row>
    <row r="457" spans="1:38" s="2" customFormat="1" ht="17" hidden="1" x14ac:dyDescent="0.35">
      <c r="A457" s="2" t="s">
        <v>658</v>
      </c>
      <c r="B457" s="2" t="s">
        <v>1031</v>
      </c>
      <c r="C457" s="30" t="s">
        <v>1056</v>
      </c>
      <c r="D457" s="26">
        <v>31</v>
      </c>
      <c r="E457" s="26"/>
      <c r="F457" s="26"/>
      <c r="G457" s="26"/>
      <c r="H457" s="10"/>
      <c r="I457" s="14"/>
      <c r="J457" s="14"/>
      <c r="K457" s="18"/>
      <c r="L457" s="2">
        <v>31</v>
      </c>
      <c r="M457" s="10"/>
      <c r="Q457" s="10"/>
      <c r="S457" s="1" t="s">
        <v>30</v>
      </c>
      <c r="T457" s="1"/>
      <c r="U457" s="1"/>
      <c r="V457" s="1">
        <v>1</v>
      </c>
      <c r="W457" s="1">
        <v>1</v>
      </c>
      <c r="X457" s="1" t="s">
        <v>32</v>
      </c>
      <c r="Y457" s="1" t="s">
        <v>32</v>
      </c>
      <c r="Z457" s="1"/>
      <c r="AB457" s="2">
        <v>0</v>
      </c>
    </row>
    <row r="458" spans="1:38" s="2" customFormat="1" hidden="1" x14ac:dyDescent="0.35">
      <c r="A458" s="2" t="s">
        <v>663</v>
      </c>
      <c r="B458" s="2" t="s">
        <v>1028</v>
      </c>
      <c r="C458" s="26" t="s">
        <v>148</v>
      </c>
      <c r="D458" s="26">
        <v>78</v>
      </c>
      <c r="E458" s="26"/>
      <c r="F458" s="26"/>
      <c r="G458" s="26"/>
      <c r="H458" s="10" t="s">
        <v>1077</v>
      </c>
      <c r="I458" s="10"/>
      <c r="J458" s="10"/>
      <c r="K458" s="1"/>
      <c r="L458" s="2">
        <v>78</v>
      </c>
      <c r="M458" s="10"/>
      <c r="N458" s="2">
        <v>67</v>
      </c>
      <c r="P458" s="2">
        <v>11</v>
      </c>
      <c r="Q458" s="10"/>
      <c r="S458" s="1"/>
      <c r="T458" s="1">
        <v>1990</v>
      </c>
      <c r="U458" s="1">
        <v>2030</v>
      </c>
      <c r="V458" s="1">
        <v>1</v>
      </c>
      <c r="W458" s="1">
        <v>1</v>
      </c>
      <c r="X458" s="1" t="s">
        <v>51</v>
      </c>
      <c r="Y458" s="1" t="s">
        <v>51</v>
      </c>
      <c r="Z458" s="1"/>
      <c r="AB458" s="2">
        <v>0</v>
      </c>
      <c r="AF458" s="2" t="s">
        <v>664</v>
      </c>
    </row>
    <row r="459" spans="1:38" s="10" customFormat="1" x14ac:dyDescent="0.35">
      <c r="A459" s="10" t="s">
        <v>663</v>
      </c>
      <c r="B459" s="10" t="s">
        <v>1029</v>
      </c>
      <c r="C459" s="10" t="s">
        <v>665</v>
      </c>
      <c r="D459" s="10">
        <v>78</v>
      </c>
      <c r="E459" s="10" t="s">
        <v>1096</v>
      </c>
      <c r="F459" s="10" t="s">
        <v>1153</v>
      </c>
      <c r="G459" s="10" t="s">
        <v>1116</v>
      </c>
      <c r="H459" s="10" t="s">
        <v>1077</v>
      </c>
      <c r="L459" s="10">
        <v>78</v>
      </c>
      <c r="M459" s="1"/>
      <c r="N459" s="10">
        <v>67</v>
      </c>
      <c r="O459" s="56"/>
      <c r="P459" s="1">
        <v>11</v>
      </c>
      <c r="Q459" s="59"/>
      <c r="T459" s="10">
        <v>1990</v>
      </c>
      <c r="U459" s="10">
        <v>2030</v>
      </c>
      <c r="V459" s="10">
        <v>1</v>
      </c>
      <c r="W459" s="10">
        <v>1</v>
      </c>
      <c r="X459" s="10" t="s">
        <v>51</v>
      </c>
      <c r="Y459" s="10" t="s">
        <v>51</v>
      </c>
      <c r="AB459" s="10">
        <v>0</v>
      </c>
      <c r="AF459" s="10" t="s">
        <v>664</v>
      </c>
      <c r="AJ459" s="10" t="s">
        <v>666</v>
      </c>
    </row>
    <row r="460" spans="1:38" s="10" customFormat="1" ht="17" x14ac:dyDescent="0.35">
      <c r="A460" s="10" t="s">
        <v>663</v>
      </c>
      <c r="B460" s="10" t="s">
        <v>1030</v>
      </c>
      <c r="C460" s="33">
        <v>43924</v>
      </c>
      <c r="D460" s="10">
        <v>88</v>
      </c>
      <c r="E460" s="10" t="s">
        <v>1096</v>
      </c>
      <c r="F460" s="10" t="s">
        <v>1153</v>
      </c>
      <c r="G460" s="10" t="s">
        <v>129</v>
      </c>
      <c r="H460" s="10" t="s">
        <v>1077</v>
      </c>
      <c r="L460" s="10">
        <v>88</v>
      </c>
      <c r="M460" s="1"/>
      <c r="N460" s="10">
        <v>70</v>
      </c>
      <c r="O460" s="56"/>
      <c r="P460" s="1">
        <v>18</v>
      </c>
      <c r="Q460" s="59"/>
      <c r="T460" s="10">
        <v>1990</v>
      </c>
      <c r="U460" s="10">
        <v>2030</v>
      </c>
      <c r="V460" s="10">
        <v>1</v>
      </c>
      <c r="W460" s="10">
        <v>1</v>
      </c>
      <c r="X460" s="10" t="s">
        <v>51</v>
      </c>
      <c r="Y460" s="10" t="s">
        <v>51</v>
      </c>
      <c r="AB460" s="10">
        <v>0</v>
      </c>
      <c r="AF460" s="10" t="s">
        <v>664</v>
      </c>
      <c r="AJ460" s="10" t="s">
        <v>667</v>
      </c>
    </row>
    <row r="461" spans="1:38" s="2" customFormat="1" hidden="1" x14ac:dyDescent="0.35">
      <c r="A461" s="2" t="s">
        <v>663</v>
      </c>
      <c r="B461" s="2" t="s">
        <v>1031</v>
      </c>
      <c r="C461" s="26"/>
      <c r="D461" s="26">
        <v>75</v>
      </c>
      <c r="E461" s="26"/>
      <c r="F461" s="26"/>
      <c r="G461" s="26"/>
      <c r="H461" s="2" t="s">
        <v>1078</v>
      </c>
      <c r="I461" s="10"/>
      <c r="J461" s="10"/>
      <c r="K461" s="1"/>
      <c r="L461" s="2">
        <v>75</v>
      </c>
      <c r="M461" s="10"/>
      <c r="N461" s="2">
        <v>75</v>
      </c>
      <c r="Q461" s="10"/>
      <c r="S461" s="1"/>
      <c r="T461" s="1">
        <v>1990</v>
      </c>
      <c r="U461" s="1">
        <v>2035</v>
      </c>
      <c r="V461" s="1">
        <v>1</v>
      </c>
      <c r="W461" s="1">
        <v>1</v>
      </c>
      <c r="X461" s="1" t="s">
        <v>51</v>
      </c>
      <c r="Y461" s="1" t="s">
        <v>51</v>
      </c>
      <c r="Z461" s="1"/>
      <c r="AB461" s="2">
        <v>0</v>
      </c>
    </row>
    <row r="462" spans="1:38" s="2" customFormat="1" hidden="1" x14ac:dyDescent="0.35">
      <c r="A462" s="2" t="s">
        <v>668</v>
      </c>
      <c r="B462" s="2" t="s">
        <v>1028</v>
      </c>
      <c r="C462" s="26">
        <v>42102</v>
      </c>
      <c r="D462" s="26">
        <v>50</v>
      </c>
      <c r="E462" s="26"/>
      <c r="F462" s="26"/>
      <c r="G462" s="26" t="s">
        <v>53</v>
      </c>
      <c r="H462" s="2" t="s">
        <v>1078</v>
      </c>
      <c r="I462" s="10"/>
      <c r="J462" s="10"/>
      <c r="K462" s="1"/>
      <c r="L462" s="2">
        <v>50</v>
      </c>
      <c r="M462" s="10"/>
      <c r="N462" s="2">
        <v>50</v>
      </c>
      <c r="Q462" s="10"/>
      <c r="S462" s="1"/>
      <c r="T462" s="1">
        <v>1990</v>
      </c>
      <c r="U462" s="1">
        <v>2030</v>
      </c>
      <c r="V462" s="1">
        <v>0</v>
      </c>
      <c r="W462" s="1">
        <v>1</v>
      </c>
      <c r="X462" s="1" t="s">
        <v>51</v>
      </c>
      <c r="Y462" s="1" t="s">
        <v>51</v>
      </c>
      <c r="Z462" s="1"/>
      <c r="AB462" s="2">
        <v>0</v>
      </c>
      <c r="AF462" s="2" t="s">
        <v>669</v>
      </c>
    </row>
    <row r="463" spans="1:38" s="10" customFormat="1" x14ac:dyDescent="0.35">
      <c r="A463" s="10" t="s">
        <v>668</v>
      </c>
      <c r="B463" s="10" t="s">
        <v>1029</v>
      </c>
      <c r="C463" s="10" t="s">
        <v>670</v>
      </c>
      <c r="D463" s="10">
        <v>50</v>
      </c>
      <c r="E463" s="10" t="s">
        <v>1091</v>
      </c>
      <c r="F463" s="10" t="s">
        <v>1091</v>
      </c>
      <c r="G463" s="10" t="s">
        <v>53</v>
      </c>
      <c r="H463" s="10" t="s">
        <v>1078</v>
      </c>
      <c r="L463" s="10">
        <v>50</v>
      </c>
      <c r="M463" s="1"/>
      <c r="N463" s="10">
        <v>50</v>
      </c>
      <c r="O463" s="56"/>
      <c r="P463" s="1"/>
      <c r="Q463" s="59"/>
      <c r="T463" s="10">
        <v>1990</v>
      </c>
      <c r="U463" s="10">
        <v>2030</v>
      </c>
      <c r="V463" s="10">
        <v>0</v>
      </c>
      <c r="W463" s="10">
        <v>1</v>
      </c>
      <c r="X463" s="10" t="s">
        <v>51</v>
      </c>
      <c r="Y463" s="10" t="s">
        <v>51</v>
      </c>
      <c r="AB463" s="10">
        <v>0</v>
      </c>
      <c r="AF463" s="10" t="s">
        <v>669</v>
      </c>
    </row>
    <row r="464" spans="1:38" s="10" customFormat="1" x14ac:dyDescent="0.35">
      <c r="A464" s="10" t="s">
        <v>668</v>
      </c>
      <c r="B464" s="10" t="s">
        <v>1030</v>
      </c>
      <c r="C464" s="10" t="s">
        <v>557</v>
      </c>
      <c r="D464" s="10">
        <v>55</v>
      </c>
      <c r="E464" s="10" t="s">
        <v>1091</v>
      </c>
      <c r="F464" s="10" t="s">
        <v>1091</v>
      </c>
      <c r="G464" s="10" t="s">
        <v>53</v>
      </c>
      <c r="H464" s="10" t="s">
        <v>1078</v>
      </c>
      <c r="L464" s="10">
        <v>55</v>
      </c>
      <c r="M464" s="1"/>
      <c r="N464" s="10" t="s">
        <v>342</v>
      </c>
      <c r="O464" s="56"/>
      <c r="P464" s="1"/>
      <c r="Q464" s="59"/>
      <c r="T464" s="10">
        <v>1990</v>
      </c>
      <c r="U464" s="10">
        <v>2030</v>
      </c>
      <c r="V464" s="10">
        <v>0</v>
      </c>
      <c r="W464" s="10">
        <v>1</v>
      </c>
      <c r="X464" s="10" t="s">
        <v>51</v>
      </c>
      <c r="Y464" s="10" t="s">
        <v>51</v>
      </c>
      <c r="AB464" s="10">
        <v>0</v>
      </c>
      <c r="AF464" s="10" t="s">
        <v>671</v>
      </c>
    </row>
    <row r="465" spans="1:36" s="2" customFormat="1" hidden="1" x14ac:dyDescent="0.35">
      <c r="A465" s="2" t="s">
        <v>668</v>
      </c>
      <c r="B465" s="2" t="s">
        <v>1031</v>
      </c>
      <c r="C465" s="26"/>
      <c r="D465" s="26"/>
      <c r="E465" s="26"/>
      <c r="F465" s="26"/>
      <c r="G465" s="26"/>
      <c r="I465" s="10"/>
      <c r="J465" s="10"/>
      <c r="K465" s="1"/>
      <c r="M465" s="10"/>
      <c r="Q465" s="10"/>
      <c r="S465" s="1"/>
      <c r="T465" s="1"/>
      <c r="U465" s="1"/>
      <c r="V465" s="1"/>
      <c r="W465" s="1"/>
      <c r="X465" s="1"/>
      <c r="Y465" s="1"/>
      <c r="Z465" s="1"/>
    </row>
    <row r="466" spans="1:36" s="2" customFormat="1" hidden="1" x14ac:dyDescent="0.35">
      <c r="A466" s="2" t="s">
        <v>672</v>
      </c>
      <c r="B466" s="2" t="s">
        <v>1028</v>
      </c>
      <c r="C466" s="26" t="s">
        <v>36</v>
      </c>
      <c r="D466" s="26" t="s">
        <v>673</v>
      </c>
      <c r="E466" s="26"/>
      <c r="F466" s="26"/>
      <c r="G466" s="26"/>
      <c r="H466" s="2" t="s">
        <v>1076</v>
      </c>
      <c r="I466" s="10"/>
      <c r="J466" s="10"/>
      <c r="K466" s="1"/>
      <c r="L466" s="2" t="s">
        <v>673</v>
      </c>
      <c r="M466" s="10"/>
      <c r="P466" s="2" t="s">
        <v>673</v>
      </c>
      <c r="Q466" s="10"/>
      <c r="S466" s="1" t="s">
        <v>45</v>
      </c>
      <c r="T466" s="1"/>
      <c r="U466" s="1">
        <v>2030</v>
      </c>
      <c r="V466" s="1">
        <v>1</v>
      </c>
      <c r="W466" s="1">
        <v>1</v>
      </c>
      <c r="X466" s="1" t="s">
        <v>32</v>
      </c>
      <c r="Y466" s="1" t="s">
        <v>32</v>
      </c>
      <c r="Z466" s="1"/>
      <c r="AB466" s="2">
        <v>0</v>
      </c>
      <c r="AF466" s="2" t="s">
        <v>674</v>
      </c>
    </row>
    <row r="467" spans="1:36" s="10" customFormat="1" x14ac:dyDescent="0.35">
      <c r="A467" s="10" t="s">
        <v>672</v>
      </c>
      <c r="B467" s="10" t="s">
        <v>1029</v>
      </c>
      <c r="C467" s="10" t="s">
        <v>40</v>
      </c>
      <c r="D467" s="10" t="s">
        <v>673</v>
      </c>
      <c r="E467" s="10" t="s">
        <v>1097</v>
      </c>
      <c r="F467" s="10" t="s">
        <v>1097</v>
      </c>
      <c r="G467" s="10" t="s">
        <v>38</v>
      </c>
      <c r="H467" s="10" t="s">
        <v>1076</v>
      </c>
      <c r="L467" s="10" t="s">
        <v>673</v>
      </c>
      <c r="M467" s="1"/>
      <c r="O467" s="56"/>
      <c r="P467" s="1" t="s">
        <v>673</v>
      </c>
      <c r="Q467" s="59"/>
      <c r="S467" s="10" t="s">
        <v>45</v>
      </c>
      <c r="U467" s="10">
        <v>2030</v>
      </c>
      <c r="V467" s="10">
        <v>1</v>
      </c>
      <c r="W467" s="10">
        <v>1</v>
      </c>
      <c r="X467" s="10" t="s">
        <v>32</v>
      </c>
      <c r="Y467" s="10" t="s">
        <v>32</v>
      </c>
      <c r="AB467" s="10">
        <v>0</v>
      </c>
      <c r="AF467" s="10" t="s">
        <v>674</v>
      </c>
      <c r="AJ467" s="10" t="s">
        <v>675</v>
      </c>
    </row>
    <row r="468" spans="1:36" s="10" customFormat="1" x14ac:dyDescent="0.35">
      <c r="A468" s="10" t="s">
        <v>672</v>
      </c>
      <c r="B468" s="10" t="s">
        <v>1030</v>
      </c>
      <c r="C468" s="10" t="s">
        <v>676</v>
      </c>
      <c r="D468" s="10">
        <v>27.2</v>
      </c>
      <c r="E468" s="10" t="s">
        <v>1096</v>
      </c>
      <c r="F468" s="10" t="s">
        <v>1153</v>
      </c>
      <c r="G468" s="10" t="s">
        <v>129</v>
      </c>
      <c r="H468" s="10" t="s">
        <v>1077</v>
      </c>
      <c r="L468" s="10">
        <v>27.2</v>
      </c>
      <c r="M468" s="1"/>
      <c r="N468" s="10" t="s">
        <v>677</v>
      </c>
      <c r="O468" s="56"/>
      <c r="P468" s="1" t="s">
        <v>1057</v>
      </c>
      <c r="Q468" s="59"/>
      <c r="S468" s="10" t="s">
        <v>45</v>
      </c>
      <c r="U468" s="10">
        <v>2030</v>
      </c>
      <c r="V468" s="10">
        <v>1</v>
      </c>
      <c r="W468" s="10">
        <v>1</v>
      </c>
      <c r="X468" s="10" t="s">
        <v>32</v>
      </c>
      <c r="Y468" s="10" t="s">
        <v>32</v>
      </c>
      <c r="AB468" s="10">
        <v>0</v>
      </c>
      <c r="AF468" s="10" t="s">
        <v>678</v>
      </c>
      <c r="AJ468" s="10" t="s">
        <v>679</v>
      </c>
    </row>
    <row r="469" spans="1:36" s="2" customFormat="1" ht="17" hidden="1" x14ac:dyDescent="0.35">
      <c r="A469" s="2" t="s">
        <v>672</v>
      </c>
      <c r="B469" s="2" t="s">
        <v>1031</v>
      </c>
      <c r="C469" s="30" t="s">
        <v>1056</v>
      </c>
      <c r="D469" s="26">
        <v>52.8</v>
      </c>
      <c r="E469" s="26"/>
      <c r="F469" s="26"/>
      <c r="G469" s="26"/>
      <c r="H469" s="10" t="s">
        <v>1077</v>
      </c>
      <c r="I469" s="14"/>
      <c r="J469" s="14"/>
      <c r="K469" s="18"/>
      <c r="L469" s="2">
        <v>52.8</v>
      </c>
      <c r="M469" s="10"/>
      <c r="N469" s="2">
        <v>30.3</v>
      </c>
      <c r="P469" s="2">
        <v>22.499999999999996</v>
      </c>
      <c r="Q469" s="10"/>
      <c r="S469" s="1" t="s">
        <v>30</v>
      </c>
      <c r="T469" s="1"/>
      <c r="U469" s="1">
        <v>2035</v>
      </c>
      <c r="V469" s="1">
        <v>1</v>
      </c>
      <c r="W469" s="1">
        <v>1</v>
      </c>
      <c r="X469" s="1" t="s">
        <v>32</v>
      </c>
      <c r="Y469" s="1" t="s">
        <v>32</v>
      </c>
      <c r="Z469" s="1"/>
      <c r="AB469" s="2">
        <v>0</v>
      </c>
    </row>
    <row r="470" spans="1:36" s="2" customFormat="1" hidden="1" x14ac:dyDescent="0.35">
      <c r="A470" s="2" t="s">
        <v>680</v>
      </c>
      <c r="B470" s="2" t="s">
        <v>1028</v>
      </c>
      <c r="C470" s="26" t="s">
        <v>460</v>
      </c>
      <c r="D470" s="26">
        <v>30</v>
      </c>
      <c r="E470" s="26"/>
      <c r="F470" s="26"/>
      <c r="G470" s="26"/>
      <c r="H470" s="2" t="s">
        <v>1078</v>
      </c>
      <c r="I470" s="10"/>
      <c r="J470" s="10"/>
      <c r="K470" s="1"/>
      <c r="L470" s="2">
        <v>30</v>
      </c>
      <c r="M470" s="10"/>
      <c r="N470" s="2">
        <v>30</v>
      </c>
      <c r="Q470" s="10"/>
      <c r="S470" s="1"/>
      <c r="T470" s="1">
        <v>1990</v>
      </c>
      <c r="U470" s="1">
        <v>2030</v>
      </c>
      <c r="V470" s="1">
        <v>0</v>
      </c>
      <c r="W470" s="1">
        <v>1</v>
      </c>
      <c r="X470" s="1" t="s">
        <v>51</v>
      </c>
      <c r="Y470" s="1" t="s">
        <v>51</v>
      </c>
      <c r="Z470" s="1"/>
      <c r="AB470" s="2">
        <v>0</v>
      </c>
      <c r="AF470" s="2" t="s">
        <v>681</v>
      </c>
    </row>
    <row r="471" spans="1:36" s="10" customFormat="1" x14ac:dyDescent="0.35">
      <c r="A471" s="10" t="s">
        <v>680</v>
      </c>
      <c r="B471" s="10" t="s">
        <v>1029</v>
      </c>
      <c r="C471" s="10" t="s">
        <v>682</v>
      </c>
      <c r="D471" s="10">
        <v>30</v>
      </c>
      <c r="E471" s="10" t="s">
        <v>1140</v>
      </c>
      <c r="F471" s="10" t="s">
        <v>1140</v>
      </c>
      <c r="G471" s="10" t="s">
        <v>1116</v>
      </c>
      <c r="H471" s="10" t="s">
        <v>1078</v>
      </c>
      <c r="L471" s="10">
        <v>30</v>
      </c>
      <c r="M471" s="1"/>
      <c r="N471" s="10">
        <v>30</v>
      </c>
      <c r="O471" s="56"/>
      <c r="P471" s="1"/>
      <c r="Q471" s="59"/>
      <c r="T471" s="10">
        <v>1990</v>
      </c>
      <c r="U471" s="10">
        <v>2030</v>
      </c>
      <c r="V471" s="10">
        <v>0</v>
      </c>
      <c r="W471" s="10">
        <v>1</v>
      </c>
      <c r="X471" s="10" t="s">
        <v>51</v>
      </c>
      <c r="Y471" s="10" t="s">
        <v>51</v>
      </c>
      <c r="AB471" s="10">
        <v>0</v>
      </c>
      <c r="AF471" s="10" t="s">
        <v>681</v>
      </c>
    </row>
    <row r="472" spans="1:36" s="10" customFormat="1" x14ac:dyDescent="0.35">
      <c r="A472" s="10" t="s">
        <v>680</v>
      </c>
      <c r="B472" s="10" t="s">
        <v>1030</v>
      </c>
      <c r="C472" s="10" t="s">
        <v>683</v>
      </c>
      <c r="D472" s="10">
        <v>35</v>
      </c>
      <c r="E472" s="10" t="s">
        <v>1140</v>
      </c>
      <c r="F472" s="10" t="s">
        <v>1140</v>
      </c>
      <c r="G472" s="10" t="s">
        <v>53</v>
      </c>
      <c r="H472" s="10" t="s">
        <v>1078</v>
      </c>
      <c r="L472" s="10">
        <v>35</v>
      </c>
      <c r="M472" s="1"/>
      <c r="N472" s="10">
        <v>35</v>
      </c>
      <c r="O472" s="56"/>
      <c r="P472" s="1"/>
      <c r="Q472" s="59"/>
      <c r="T472" s="10">
        <v>1990</v>
      </c>
      <c r="U472" s="10">
        <v>2030</v>
      </c>
      <c r="X472" s="10" t="s">
        <v>51</v>
      </c>
      <c r="Y472" s="10" t="s">
        <v>51</v>
      </c>
      <c r="AB472" s="10">
        <v>0</v>
      </c>
      <c r="AF472" s="10" t="s">
        <v>684</v>
      </c>
    </row>
    <row r="473" spans="1:36" s="2" customFormat="1" hidden="1" x14ac:dyDescent="0.35">
      <c r="A473" s="2" t="s">
        <v>680</v>
      </c>
      <c r="B473" s="2" t="s">
        <v>1031</v>
      </c>
      <c r="C473" s="26" t="s">
        <v>685</v>
      </c>
      <c r="D473" s="26" t="s">
        <v>342</v>
      </c>
      <c r="E473" s="26"/>
      <c r="F473" s="26"/>
      <c r="G473" s="26"/>
      <c r="H473" s="2" t="s">
        <v>1078</v>
      </c>
      <c r="I473" s="10"/>
      <c r="J473" s="10"/>
      <c r="K473" s="1"/>
      <c r="L473" s="2" t="s">
        <v>342</v>
      </c>
      <c r="M473" s="10"/>
      <c r="N473" s="2" t="s">
        <v>342</v>
      </c>
      <c r="Q473" s="10"/>
      <c r="R473" s="2" t="s">
        <v>686</v>
      </c>
      <c r="S473" s="1"/>
      <c r="T473" s="1">
        <v>1990</v>
      </c>
      <c r="U473" s="1">
        <v>2030</v>
      </c>
      <c r="V473" s="1">
        <v>0</v>
      </c>
      <c r="W473" s="1">
        <v>0</v>
      </c>
      <c r="X473" s="1" t="s">
        <v>51</v>
      </c>
      <c r="Y473" s="1" t="s">
        <v>51</v>
      </c>
      <c r="Z473" s="1"/>
      <c r="AA473" s="2">
        <v>2035</v>
      </c>
      <c r="AB473" s="2">
        <v>0</v>
      </c>
      <c r="AF473" s="2" t="s">
        <v>687</v>
      </c>
    </row>
    <row r="474" spans="1:36" s="2" customFormat="1" hidden="1" x14ac:dyDescent="0.35">
      <c r="A474" s="2" t="s">
        <v>688</v>
      </c>
      <c r="B474" s="2" t="s">
        <v>1028</v>
      </c>
      <c r="C474" s="26" t="s">
        <v>689</v>
      </c>
      <c r="D474" s="26">
        <v>32</v>
      </c>
      <c r="E474" s="26"/>
      <c r="F474" s="26"/>
      <c r="G474" s="26"/>
      <c r="H474" s="10" t="s">
        <v>1077</v>
      </c>
      <c r="I474" s="10"/>
      <c r="J474" s="10"/>
      <c r="K474" s="1"/>
      <c r="L474" s="2">
        <v>32</v>
      </c>
      <c r="M474" s="10"/>
      <c r="N474" s="2">
        <v>13</v>
      </c>
      <c r="P474" s="2">
        <v>19</v>
      </c>
      <c r="Q474" s="10"/>
      <c r="S474" s="1" t="s">
        <v>45</v>
      </c>
      <c r="T474" s="1"/>
      <c r="U474" s="1">
        <v>2030</v>
      </c>
      <c r="V474" s="1">
        <v>1</v>
      </c>
      <c r="W474" s="1">
        <v>1</v>
      </c>
      <c r="X474" s="1" t="s">
        <v>32</v>
      </c>
      <c r="Y474" s="1" t="s">
        <v>32</v>
      </c>
      <c r="Z474" s="1"/>
      <c r="AB474" s="2">
        <v>0</v>
      </c>
      <c r="AF474" s="2" t="s">
        <v>690</v>
      </c>
    </row>
    <row r="475" spans="1:36" s="10" customFormat="1" x14ac:dyDescent="0.35">
      <c r="A475" s="10" t="s">
        <v>688</v>
      </c>
      <c r="B475" s="10" t="s">
        <v>1029</v>
      </c>
      <c r="C475" s="10" t="s">
        <v>691</v>
      </c>
      <c r="D475" s="10">
        <v>32</v>
      </c>
      <c r="E475" s="10" t="s">
        <v>1096</v>
      </c>
      <c r="F475" s="10" t="s">
        <v>1153</v>
      </c>
      <c r="G475" s="10" t="s">
        <v>38</v>
      </c>
      <c r="H475" s="10" t="s">
        <v>1077</v>
      </c>
      <c r="L475" s="10">
        <v>32</v>
      </c>
      <c r="M475" s="1"/>
      <c r="N475" s="10">
        <v>13</v>
      </c>
      <c r="O475" s="56"/>
      <c r="P475" s="1">
        <v>19</v>
      </c>
      <c r="Q475" s="59"/>
      <c r="S475" s="10" t="s">
        <v>45</v>
      </c>
      <c r="U475" s="10">
        <v>2030</v>
      </c>
      <c r="V475" s="10">
        <v>1</v>
      </c>
      <c r="W475" s="10">
        <v>1</v>
      </c>
      <c r="X475" s="10" t="s">
        <v>32</v>
      </c>
      <c r="Y475" s="10" t="s">
        <v>32</v>
      </c>
      <c r="AB475" s="10">
        <v>0</v>
      </c>
      <c r="AF475" s="10" t="s">
        <v>690</v>
      </c>
      <c r="AJ475" s="10" t="s">
        <v>692</v>
      </c>
    </row>
    <row r="476" spans="1:36" s="10" customFormat="1" ht="17.5" x14ac:dyDescent="0.35">
      <c r="A476" s="10" t="s">
        <v>688</v>
      </c>
      <c r="B476" s="10" t="s">
        <v>1030</v>
      </c>
      <c r="C476" s="10" t="s">
        <v>693</v>
      </c>
      <c r="D476" s="10">
        <v>45.5</v>
      </c>
      <c r="E476" s="10" t="s">
        <v>1096</v>
      </c>
      <c r="F476" s="10" t="s">
        <v>1153</v>
      </c>
      <c r="G476" s="12" t="s">
        <v>129</v>
      </c>
      <c r="H476" s="10" t="s">
        <v>1077</v>
      </c>
      <c r="L476" s="10">
        <v>45.5</v>
      </c>
      <c r="M476" s="1"/>
      <c r="N476" s="10">
        <v>18.3</v>
      </c>
      <c r="O476" s="56"/>
      <c r="P476" s="1">
        <v>27.2</v>
      </c>
      <c r="Q476" s="59"/>
      <c r="S476" s="10" t="s">
        <v>45</v>
      </c>
      <c r="U476" s="10">
        <v>2030</v>
      </c>
      <c r="V476" s="10">
        <v>1</v>
      </c>
      <c r="W476" s="10">
        <v>1</v>
      </c>
      <c r="X476" s="10" t="s">
        <v>32</v>
      </c>
      <c r="Y476" s="10" t="s">
        <v>32</v>
      </c>
      <c r="AB476" s="10">
        <v>0</v>
      </c>
      <c r="AF476" s="10" t="s">
        <v>694</v>
      </c>
    </row>
    <row r="477" spans="1:36" s="2" customFormat="1" ht="17" hidden="1" x14ac:dyDescent="0.35">
      <c r="A477" s="2" t="s">
        <v>688</v>
      </c>
      <c r="B477" s="2" t="s">
        <v>1031</v>
      </c>
      <c r="C477" s="30" t="s">
        <v>1058</v>
      </c>
      <c r="D477" s="26">
        <v>53</v>
      </c>
      <c r="E477" s="26"/>
      <c r="F477" s="26"/>
      <c r="G477" s="26"/>
      <c r="H477" s="10" t="s">
        <v>1077</v>
      </c>
      <c r="I477" s="14"/>
      <c r="J477" s="14"/>
      <c r="K477" s="18"/>
      <c r="L477" s="2">
        <v>53</v>
      </c>
      <c r="M477" s="10"/>
      <c r="N477" s="2">
        <v>21.6</v>
      </c>
      <c r="P477" s="2">
        <v>31.4</v>
      </c>
      <c r="Q477" s="10"/>
      <c r="S477" s="1" t="s">
        <v>30</v>
      </c>
      <c r="T477" s="1"/>
      <c r="U477" s="1">
        <v>2030</v>
      </c>
      <c r="V477" s="1">
        <v>1</v>
      </c>
      <c r="W477" s="1">
        <v>1</v>
      </c>
      <c r="X477" s="1" t="s">
        <v>32</v>
      </c>
      <c r="Y477" s="1" t="s">
        <v>32</v>
      </c>
      <c r="Z477" s="1"/>
      <c r="AB477" s="2">
        <v>0</v>
      </c>
    </row>
    <row r="478" spans="1:36" s="2" customFormat="1" hidden="1" x14ac:dyDescent="0.35">
      <c r="A478" s="2" t="s">
        <v>695</v>
      </c>
      <c r="B478" s="2" t="s">
        <v>1028</v>
      </c>
      <c r="C478" s="26">
        <v>42014</v>
      </c>
      <c r="D478" s="26"/>
      <c r="E478" s="26"/>
      <c r="F478" s="26"/>
      <c r="G478" s="26"/>
      <c r="H478" s="10"/>
      <c r="I478" s="10"/>
      <c r="J478" s="10"/>
      <c r="K478" s="1"/>
      <c r="M478" s="10"/>
      <c r="Q478" s="10"/>
      <c r="S478" s="1"/>
      <c r="T478" s="1"/>
      <c r="U478" s="1"/>
      <c r="V478" s="1">
        <v>1</v>
      </c>
      <c r="W478" s="1">
        <v>1</v>
      </c>
      <c r="X478" s="1"/>
      <c r="Y478" s="1"/>
      <c r="Z478" s="1"/>
      <c r="AB478" s="2">
        <v>0</v>
      </c>
      <c r="AF478" s="2" t="s">
        <v>696</v>
      </c>
    </row>
    <row r="479" spans="1:36" s="10" customFormat="1" x14ac:dyDescent="0.35">
      <c r="A479" s="10" t="s">
        <v>695</v>
      </c>
      <c r="B479" s="10" t="s">
        <v>1029</v>
      </c>
      <c r="C479" s="10">
        <v>43196</v>
      </c>
      <c r="I479" s="22" t="s">
        <v>1085</v>
      </c>
      <c r="M479" s="1"/>
      <c r="O479" s="56"/>
      <c r="P479" s="1"/>
      <c r="Q479" s="59"/>
      <c r="V479" s="10">
        <v>1</v>
      </c>
      <c r="W479" s="10">
        <v>1</v>
      </c>
      <c r="AB479" s="10">
        <v>0</v>
      </c>
      <c r="AF479" s="10" t="s">
        <v>696</v>
      </c>
    </row>
    <row r="480" spans="1:36" s="10" customFormat="1" ht="17.5" x14ac:dyDescent="0.35">
      <c r="A480" s="10" t="s">
        <v>695</v>
      </c>
      <c r="B480" s="10" t="s">
        <v>1030</v>
      </c>
      <c r="C480" s="10" t="s">
        <v>697</v>
      </c>
      <c r="E480" s="10" t="s">
        <v>1122</v>
      </c>
      <c r="F480" s="10" t="s">
        <v>1122</v>
      </c>
      <c r="G480" s="12" t="s">
        <v>389</v>
      </c>
      <c r="H480" s="10" t="s">
        <v>1076</v>
      </c>
      <c r="M480" s="1">
        <v>40000</v>
      </c>
      <c r="O480" s="56"/>
      <c r="P480" s="1"/>
      <c r="Q480" s="59">
        <v>40000</v>
      </c>
      <c r="T480" s="10">
        <v>2020</v>
      </c>
      <c r="U480" s="10">
        <v>2025</v>
      </c>
      <c r="V480" s="10">
        <v>1</v>
      </c>
      <c r="W480" s="10">
        <v>1</v>
      </c>
      <c r="X480" s="10" t="s">
        <v>51</v>
      </c>
      <c r="Y480" s="10" t="s">
        <v>51</v>
      </c>
      <c r="AB480" s="10">
        <v>0</v>
      </c>
      <c r="AF480" s="10" t="s">
        <v>698</v>
      </c>
    </row>
    <row r="481" spans="1:38" s="2" customFormat="1" ht="17" hidden="1" x14ac:dyDescent="0.35">
      <c r="A481" s="2" t="s">
        <v>695</v>
      </c>
      <c r="B481" s="2" t="s">
        <v>1031</v>
      </c>
      <c r="C481" s="31">
        <v>45788</v>
      </c>
      <c r="D481" s="26">
        <v>20</v>
      </c>
      <c r="E481" s="26"/>
      <c r="F481" s="26"/>
      <c r="G481" s="26"/>
      <c r="H481" s="2" t="s">
        <v>1076</v>
      </c>
      <c r="I481" s="23"/>
      <c r="J481" s="23"/>
      <c r="K481" s="19"/>
      <c r="L481" s="2">
        <v>20</v>
      </c>
      <c r="M481" s="10"/>
      <c r="P481" s="2">
        <v>20</v>
      </c>
      <c r="Q481" s="10"/>
      <c r="S481" s="1" t="s">
        <v>30</v>
      </c>
      <c r="T481" s="1"/>
      <c r="U481" s="1">
        <v>2035</v>
      </c>
      <c r="V481" s="1">
        <v>1</v>
      </c>
      <c r="W481" s="1">
        <v>1</v>
      </c>
      <c r="X481" s="1" t="s">
        <v>51</v>
      </c>
      <c r="Y481" s="1" t="s">
        <v>51</v>
      </c>
      <c r="Z481" s="1"/>
      <c r="AB481" s="2">
        <v>0</v>
      </c>
    </row>
    <row r="482" spans="1:38" s="2" customFormat="1" hidden="1" x14ac:dyDescent="0.35">
      <c r="A482" s="8" t="s">
        <v>1034</v>
      </c>
      <c r="B482" s="2" t="s">
        <v>1028</v>
      </c>
      <c r="C482" s="26" t="s">
        <v>550</v>
      </c>
      <c r="D482" s="26"/>
      <c r="E482" s="26"/>
      <c r="F482" s="26"/>
      <c r="G482" s="26"/>
      <c r="H482" s="10"/>
      <c r="I482" s="10"/>
      <c r="J482" s="10"/>
      <c r="K482" s="1"/>
      <c r="M482" s="10"/>
      <c r="Q482" s="10"/>
      <c r="S482" s="1"/>
      <c r="T482" s="1"/>
      <c r="U482" s="1"/>
      <c r="V482" s="1">
        <v>1</v>
      </c>
      <c r="W482" s="1">
        <v>1</v>
      </c>
      <c r="X482" s="1"/>
      <c r="Y482" s="1"/>
      <c r="Z482" s="1"/>
      <c r="AB482" s="2">
        <v>0</v>
      </c>
      <c r="AF482" s="2" t="s">
        <v>699</v>
      </c>
    </row>
    <row r="483" spans="1:38" s="10" customFormat="1" x14ac:dyDescent="0.35">
      <c r="A483" s="39" t="s">
        <v>1034</v>
      </c>
      <c r="B483" s="10" t="s">
        <v>1029</v>
      </c>
      <c r="C483" s="10" t="s">
        <v>700</v>
      </c>
      <c r="I483" s="22" t="s">
        <v>1085</v>
      </c>
      <c r="M483" s="1"/>
      <c r="O483" s="56"/>
      <c r="P483" s="1"/>
      <c r="Q483" s="59"/>
      <c r="V483" s="10">
        <v>1</v>
      </c>
      <c r="W483" s="10">
        <v>1</v>
      </c>
      <c r="AF483" s="10" t="s">
        <v>699</v>
      </c>
    </row>
    <row r="484" spans="1:38" s="10" customFormat="1" ht="17.5" x14ac:dyDescent="0.35">
      <c r="A484" s="39" t="s">
        <v>1034</v>
      </c>
      <c r="B484" s="10" t="s">
        <v>1030</v>
      </c>
      <c r="C484" s="33">
        <v>44263</v>
      </c>
      <c r="E484" s="10" t="s">
        <v>1120</v>
      </c>
      <c r="F484" s="10" t="s">
        <v>1153</v>
      </c>
      <c r="G484" s="12" t="s">
        <v>53</v>
      </c>
      <c r="H484" s="10" t="s">
        <v>1077</v>
      </c>
      <c r="M484" s="54">
        <v>414750</v>
      </c>
      <c r="O484" s="58">
        <v>244520</v>
      </c>
      <c r="P484" s="1"/>
      <c r="Q484" s="61">
        <v>170230</v>
      </c>
      <c r="S484" s="10" t="s">
        <v>45</v>
      </c>
      <c r="U484" s="10">
        <v>2030</v>
      </c>
      <c r="V484" s="10">
        <v>1</v>
      </c>
      <c r="W484" s="10">
        <v>1</v>
      </c>
      <c r="X484" s="10" t="s">
        <v>32</v>
      </c>
      <c r="Y484" s="10" t="s">
        <v>32</v>
      </c>
      <c r="AB484" s="10">
        <v>0</v>
      </c>
      <c r="AF484" s="10" t="s">
        <v>701</v>
      </c>
    </row>
    <row r="485" spans="1:38" s="2" customFormat="1" hidden="1" x14ac:dyDescent="0.35">
      <c r="A485" s="8" t="s">
        <v>1034</v>
      </c>
      <c r="B485" s="2" t="s">
        <v>1031</v>
      </c>
      <c r="C485" s="26"/>
      <c r="D485" s="26"/>
      <c r="E485" s="26"/>
      <c r="F485" s="26"/>
      <c r="G485" s="26"/>
      <c r="H485" s="10"/>
      <c r="I485" s="10"/>
      <c r="J485" s="10"/>
      <c r="K485" s="1"/>
      <c r="M485" s="10"/>
      <c r="Q485" s="10"/>
      <c r="S485" s="1"/>
      <c r="T485" s="1"/>
      <c r="U485" s="1"/>
      <c r="V485" s="1"/>
      <c r="W485" s="1"/>
      <c r="X485" s="1"/>
      <c r="Y485" s="1"/>
      <c r="Z485" s="1"/>
    </row>
    <row r="486" spans="1:38" s="2" customFormat="1" hidden="1" x14ac:dyDescent="0.35">
      <c r="A486" s="2" t="s">
        <v>702</v>
      </c>
      <c r="B486" s="2" t="s">
        <v>1028</v>
      </c>
      <c r="C486" s="26" t="s">
        <v>83</v>
      </c>
      <c r="D486" s="26">
        <v>89</v>
      </c>
      <c r="E486" s="26"/>
      <c r="F486" s="26"/>
      <c r="G486" s="26"/>
      <c r="H486" s="10" t="s">
        <v>1077</v>
      </c>
      <c r="I486" s="10"/>
      <c r="J486" s="10"/>
      <c r="K486" s="1"/>
      <c r="L486" s="2">
        <v>89</v>
      </c>
      <c r="M486" s="10"/>
      <c r="Q486" s="10"/>
      <c r="S486" s="1" t="s">
        <v>45</v>
      </c>
      <c r="T486" s="1"/>
      <c r="U486" s="1">
        <v>2030</v>
      </c>
      <c r="V486" s="1">
        <v>1</v>
      </c>
      <c r="W486" s="1">
        <v>1</v>
      </c>
      <c r="X486" s="1" t="s">
        <v>32</v>
      </c>
      <c r="Y486" s="1" t="s">
        <v>32</v>
      </c>
      <c r="Z486" s="1"/>
      <c r="AB486" s="2">
        <v>0</v>
      </c>
      <c r="AF486" s="2" t="s">
        <v>703</v>
      </c>
    </row>
    <row r="487" spans="1:38" s="10" customFormat="1" x14ac:dyDescent="0.35">
      <c r="A487" s="10" t="s">
        <v>702</v>
      </c>
      <c r="B487" s="10" t="s">
        <v>1029</v>
      </c>
      <c r="C487" s="10" t="s">
        <v>40</v>
      </c>
      <c r="D487" s="10">
        <v>89</v>
      </c>
      <c r="E487" s="10" t="s">
        <v>1096</v>
      </c>
      <c r="F487" s="10" t="s">
        <v>1153</v>
      </c>
      <c r="G487" s="10" t="s">
        <v>38</v>
      </c>
      <c r="H487" s="10" t="s">
        <v>1077</v>
      </c>
      <c r="L487" s="10">
        <v>89</v>
      </c>
      <c r="M487" s="1"/>
      <c r="O487" s="56"/>
      <c r="P487" s="1"/>
      <c r="Q487" s="59"/>
      <c r="S487" s="10" t="s">
        <v>45</v>
      </c>
      <c r="U487" s="10">
        <v>2030</v>
      </c>
      <c r="V487" s="10">
        <v>1</v>
      </c>
      <c r="W487" s="10">
        <v>1</v>
      </c>
      <c r="X487" s="10" t="s">
        <v>32</v>
      </c>
      <c r="Y487" s="10" t="s">
        <v>32</v>
      </c>
      <c r="AB487" s="10">
        <v>0</v>
      </c>
      <c r="AF487" s="10" t="s">
        <v>703</v>
      </c>
      <c r="AJ487" s="10" t="s">
        <v>704</v>
      </c>
    </row>
    <row r="488" spans="1:38" s="10" customFormat="1" ht="17.5" x14ac:dyDescent="0.35">
      <c r="A488" s="10" t="s">
        <v>702</v>
      </c>
      <c r="B488" s="10" t="s">
        <v>1030</v>
      </c>
      <c r="C488" s="10" t="s">
        <v>705</v>
      </c>
      <c r="D488" s="10">
        <v>13.1</v>
      </c>
      <c r="E488" s="10" t="s">
        <v>1097</v>
      </c>
      <c r="F488" s="10" t="s">
        <v>1097</v>
      </c>
      <c r="G488" s="12" t="s">
        <v>53</v>
      </c>
      <c r="H488" s="10" t="s">
        <v>1077</v>
      </c>
      <c r="L488" s="10">
        <v>13.1</v>
      </c>
      <c r="M488" s="52">
        <v>11902</v>
      </c>
      <c r="O488" s="56"/>
      <c r="P488" s="1"/>
      <c r="Q488" s="59"/>
      <c r="S488" s="10" t="s">
        <v>45</v>
      </c>
      <c r="U488" s="10">
        <v>2030</v>
      </c>
      <c r="V488" s="10">
        <v>1</v>
      </c>
      <c r="W488" s="10">
        <v>1</v>
      </c>
      <c r="X488" s="10" t="s">
        <v>32</v>
      </c>
      <c r="Y488" s="10" t="s">
        <v>32</v>
      </c>
      <c r="AB488" s="10">
        <v>0</v>
      </c>
      <c r="AF488" s="10" t="s">
        <v>706</v>
      </c>
    </row>
    <row r="489" spans="1:38" s="2" customFormat="1" hidden="1" x14ac:dyDescent="0.35">
      <c r="A489" s="2" t="s">
        <v>702</v>
      </c>
      <c r="B489" s="2" t="s">
        <v>1031</v>
      </c>
      <c r="C489" s="26"/>
      <c r="D489" s="26"/>
      <c r="E489" s="26"/>
      <c r="F489" s="26"/>
      <c r="G489" s="26"/>
      <c r="H489" s="10"/>
      <c r="I489" s="10"/>
      <c r="J489" s="10"/>
      <c r="K489" s="1"/>
      <c r="M489" s="10"/>
      <c r="Q489" s="10"/>
      <c r="S489" s="1"/>
      <c r="T489" s="1"/>
      <c r="U489" s="1"/>
      <c r="V489" s="1"/>
      <c r="W489" s="1"/>
      <c r="X489" s="1"/>
      <c r="Y489" s="1"/>
      <c r="Z489" s="1"/>
    </row>
    <row r="490" spans="1:38" s="2" customFormat="1" hidden="1" x14ac:dyDescent="0.35">
      <c r="A490" s="2" t="s">
        <v>707</v>
      </c>
      <c r="B490" s="2" t="s">
        <v>1028</v>
      </c>
      <c r="C490" s="26" t="s">
        <v>405</v>
      </c>
      <c r="D490" s="26"/>
      <c r="E490" s="26"/>
      <c r="F490" s="26"/>
      <c r="G490" s="26"/>
      <c r="H490" s="10"/>
      <c r="I490" s="10"/>
      <c r="J490" s="10"/>
      <c r="K490" s="1"/>
      <c r="M490" s="10"/>
      <c r="Q490" s="10"/>
      <c r="S490" s="1"/>
      <c r="T490" s="1"/>
      <c r="U490" s="1"/>
      <c r="V490" s="1">
        <v>1</v>
      </c>
      <c r="W490" s="1">
        <v>1</v>
      </c>
      <c r="X490" s="1"/>
      <c r="Y490" s="1"/>
      <c r="Z490" s="1"/>
      <c r="AB490" s="2">
        <v>0</v>
      </c>
      <c r="AF490" s="2" t="s">
        <v>708</v>
      </c>
    </row>
    <row r="491" spans="1:38" s="46" customFormat="1" x14ac:dyDescent="0.35">
      <c r="A491" s="46" t="s">
        <v>707</v>
      </c>
      <c r="B491" s="46" t="s">
        <v>1029</v>
      </c>
      <c r="C491" s="46">
        <v>42555</v>
      </c>
      <c r="I491" s="48" t="s">
        <v>1085</v>
      </c>
      <c r="M491" s="51"/>
      <c r="O491" s="57"/>
      <c r="P491" s="51"/>
      <c r="Q491" s="60"/>
      <c r="V491" s="46">
        <v>1</v>
      </c>
      <c r="W491" s="46">
        <v>1</v>
      </c>
      <c r="AB491" s="46">
        <v>0</v>
      </c>
      <c r="AF491" s="46" t="s">
        <v>708</v>
      </c>
    </row>
    <row r="492" spans="1:38" s="46" customFormat="1" x14ac:dyDescent="0.35">
      <c r="A492" s="46" t="s">
        <v>707</v>
      </c>
      <c r="B492" s="46" t="s">
        <v>1030</v>
      </c>
      <c r="C492" s="46" t="s">
        <v>709</v>
      </c>
      <c r="I492" s="48" t="s">
        <v>1085</v>
      </c>
      <c r="M492" s="51"/>
      <c r="O492" s="57"/>
      <c r="P492" s="51"/>
      <c r="Q492" s="60"/>
      <c r="V492" s="46">
        <v>1</v>
      </c>
      <c r="W492" s="46">
        <v>1</v>
      </c>
      <c r="AB492" s="46">
        <v>0</v>
      </c>
      <c r="AF492" s="46" t="s">
        <v>294</v>
      </c>
    </row>
    <row r="493" spans="1:38" s="2" customFormat="1" hidden="1" x14ac:dyDescent="0.35">
      <c r="A493" s="2" t="s">
        <v>707</v>
      </c>
      <c r="B493" s="2" t="s">
        <v>1031</v>
      </c>
      <c r="C493" s="26"/>
      <c r="D493" s="26"/>
      <c r="E493" s="26"/>
      <c r="F493" s="26"/>
      <c r="G493" s="26"/>
      <c r="H493" s="10"/>
      <c r="I493" s="10"/>
      <c r="J493" s="10"/>
      <c r="K493" s="1"/>
      <c r="M493" s="10"/>
      <c r="Q493" s="10"/>
      <c r="S493" s="1"/>
      <c r="T493" s="1"/>
      <c r="U493" s="1"/>
      <c r="V493" s="1"/>
      <c r="W493" s="1"/>
      <c r="X493" s="1"/>
      <c r="Y493" s="1"/>
      <c r="Z493" s="1"/>
    </row>
    <row r="494" spans="1:38" s="2" customFormat="1" hidden="1" x14ac:dyDescent="0.35">
      <c r="A494" s="2" t="s">
        <v>710</v>
      </c>
      <c r="B494" s="2" t="s">
        <v>1028</v>
      </c>
      <c r="C494" s="26">
        <v>42676</v>
      </c>
      <c r="D494" s="26"/>
      <c r="E494" s="26"/>
      <c r="F494" s="26"/>
      <c r="G494" s="26"/>
      <c r="H494" s="10"/>
      <c r="I494" s="10"/>
      <c r="J494" s="10"/>
      <c r="K494" s="1"/>
      <c r="M494" s="10"/>
      <c r="Q494" s="10"/>
      <c r="S494" s="1"/>
      <c r="T494" s="1"/>
      <c r="U494" s="1"/>
      <c r="V494" s="1">
        <v>1</v>
      </c>
      <c r="W494" s="1">
        <v>1</v>
      </c>
      <c r="X494" s="1"/>
      <c r="Y494" s="1"/>
      <c r="Z494" s="1"/>
      <c r="AB494" s="2">
        <v>0</v>
      </c>
      <c r="AF494" s="2" t="s">
        <v>711</v>
      </c>
      <c r="AL494" s="2" t="s">
        <v>712</v>
      </c>
    </row>
    <row r="495" spans="1:38" s="46" customFormat="1" x14ac:dyDescent="0.35">
      <c r="A495" s="46" t="s">
        <v>710</v>
      </c>
      <c r="B495" s="46" t="s">
        <v>1029</v>
      </c>
      <c r="C495" s="46">
        <v>42500</v>
      </c>
      <c r="I495" s="48" t="s">
        <v>1085</v>
      </c>
      <c r="M495" s="51"/>
      <c r="O495" s="57"/>
      <c r="P495" s="51"/>
      <c r="Q495" s="60"/>
      <c r="V495" s="46">
        <v>1</v>
      </c>
      <c r="W495" s="46">
        <v>1</v>
      </c>
      <c r="AF495" s="46" t="s">
        <v>711</v>
      </c>
      <c r="AL495" s="46" t="s">
        <v>712</v>
      </c>
    </row>
    <row r="496" spans="1:38" s="46" customFormat="1" x14ac:dyDescent="0.35">
      <c r="A496" s="46" t="s">
        <v>710</v>
      </c>
      <c r="B496" s="46" t="s">
        <v>1030</v>
      </c>
      <c r="C496" s="46">
        <v>44055</v>
      </c>
      <c r="I496" s="48" t="s">
        <v>1085</v>
      </c>
      <c r="M496" s="51"/>
      <c r="O496" s="57"/>
      <c r="P496" s="51"/>
      <c r="Q496" s="60"/>
      <c r="V496" s="46">
        <v>1</v>
      </c>
      <c r="W496" s="46">
        <v>1</v>
      </c>
      <c r="AB496" s="46">
        <v>0</v>
      </c>
      <c r="AL496" s="46" t="s">
        <v>713</v>
      </c>
    </row>
    <row r="497" spans="1:38" s="2" customFormat="1" ht="17" hidden="1" x14ac:dyDescent="0.35">
      <c r="A497" s="2" t="s">
        <v>710</v>
      </c>
      <c r="B497" s="2" t="s">
        <v>1031</v>
      </c>
      <c r="C497" s="30" t="s">
        <v>1059</v>
      </c>
      <c r="D497" s="28">
        <v>26.79</v>
      </c>
      <c r="E497" s="28"/>
      <c r="F497" s="28"/>
      <c r="G497" s="26"/>
      <c r="H497" s="10" t="s">
        <v>1077</v>
      </c>
      <c r="I497" s="14"/>
      <c r="J497" s="14"/>
      <c r="K497" s="18"/>
      <c r="L497" s="9">
        <v>26.79</v>
      </c>
      <c r="M497" s="10"/>
      <c r="Q497" s="10"/>
      <c r="S497" s="1" t="s">
        <v>30</v>
      </c>
      <c r="T497" s="1"/>
      <c r="U497" s="1">
        <v>2035</v>
      </c>
      <c r="V497" s="1">
        <v>1</v>
      </c>
      <c r="W497" s="1">
        <v>1</v>
      </c>
      <c r="X497" s="1" t="s">
        <v>32</v>
      </c>
      <c r="Y497" s="1" t="s">
        <v>32</v>
      </c>
      <c r="Z497" s="1"/>
      <c r="AB497" s="2">
        <v>0</v>
      </c>
    </row>
    <row r="498" spans="1:38" s="2" customFormat="1" ht="15" hidden="1" customHeight="1" x14ac:dyDescent="0.35">
      <c r="A498" s="2" t="s">
        <v>714</v>
      </c>
      <c r="B498" s="2" t="s">
        <v>1028</v>
      </c>
      <c r="C498" s="26"/>
      <c r="D498" s="26"/>
      <c r="E498" s="26"/>
      <c r="F498" s="26"/>
      <c r="G498" s="26"/>
      <c r="H498" s="10"/>
      <c r="I498" s="10"/>
      <c r="J498" s="10"/>
      <c r="K498" s="1"/>
      <c r="M498" s="10"/>
      <c r="Q498" s="10"/>
      <c r="S498" s="1"/>
      <c r="T498" s="1"/>
      <c r="U498" s="1"/>
      <c r="V498" s="1"/>
      <c r="W498" s="1"/>
      <c r="X498" s="1"/>
      <c r="Y498" s="1"/>
      <c r="Z498" s="1"/>
    </row>
    <row r="499" spans="1:38" s="10" customFormat="1" ht="15" customHeight="1" x14ac:dyDescent="0.35">
      <c r="A499" s="10" t="s">
        <v>714</v>
      </c>
      <c r="B499" s="10" t="s">
        <v>1029</v>
      </c>
      <c r="C499" s="10" t="s">
        <v>715</v>
      </c>
      <c r="D499" s="10">
        <v>40</v>
      </c>
      <c r="E499" s="10" t="s">
        <v>1140</v>
      </c>
      <c r="F499" s="10" t="s">
        <v>1140</v>
      </c>
      <c r="G499" s="10" t="s">
        <v>53</v>
      </c>
      <c r="H499" s="10" t="s">
        <v>1078</v>
      </c>
      <c r="L499" s="10">
        <v>40</v>
      </c>
      <c r="M499" s="1"/>
      <c r="N499" s="10">
        <v>40</v>
      </c>
      <c r="O499" s="56"/>
      <c r="P499" s="1"/>
      <c r="Q499" s="59"/>
      <c r="T499" s="10">
        <v>1990</v>
      </c>
      <c r="U499" s="10">
        <v>2030</v>
      </c>
      <c r="V499" s="10">
        <v>0</v>
      </c>
      <c r="W499" s="10">
        <v>0</v>
      </c>
      <c r="X499" s="10" t="s">
        <v>51</v>
      </c>
      <c r="Y499" s="10" t="s">
        <v>51</v>
      </c>
      <c r="AB499" s="10">
        <v>1</v>
      </c>
      <c r="AC499" s="10">
        <v>2050</v>
      </c>
      <c r="AF499" s="10" t="s">
        <v>215</v>
      </c>
      <c r="AL499" s="10" t="s">
        <v>101</v>
      </c>
    </row>
    <row r="500" spans="1:38" s="10" customFormat="1" ht="15" customHeight="1" x14ac:dyDescent="0.35">
      <c r="A500" s="10" t="s">
        <v>714</v>
      </c>
      <c r="B500" s="10" t="s">
        <v>1030</v>
      </c>
      <c r="C500" s="10" t="s">
        <v>102</v>
      </c>
      <c r="D500" s="10" t="s">
        <v>342</v>
      </c>
      <c r="E500" s="10" t="s">
        <v>1140</v>
      </c>
      <c r="F500" s="10" t="s">
        <v>1140</v>
      </c>
      <c r="G500" s="10" t="s">
        <v>53</v>
      </c>
      <c r="H500" s="10" t="s">
        <v>1078</v>
      </c>
      <c r="L500" s="10" t="s">
        <v>342</v>
      </c>
      <c r="M500" s="1"/>
      <c r="N500" s="10" t="s">
        <v>342</v>
      </c>
      <c r="O500" s="56"/>
      <c r="P500" s="1"/>
      <c r="Q500" s="59"/>
      <c r="T500" s="10">
        <v>1990</v>
      </c>
      <c r="U500" s="10">
        <v>2030</v>
      </c>
      <c r="V500" s="10">
        <v>0</v>
      </c>
      <c r="W500" s="10">
        <v>0</v>
      </c>
      <c r="X500" s="10" t="s">
        <v>51</v>
      </c>
      <c r="Y500" s="10" t="s">
        <v>51</v>
      </c>
      <c r="AB500" s="10">
        <v>1</v>
      </c>
      <c r="AC500" s="10">
        <v>2050</v>
      </c>
      <c r="AF500" s="10" t="s">
        <v>215</v>
      </c>
      <c r="AL500" s="10" t="s">
        <v>343</v>
      </c>
    </row>
    <row r="501" spans="1:38" s="2" customFormat="1" ht="15" hidden="1" customHeight="1" x14ac:dyDescent="0.35">
      <c r="A501" s="2" t="s">
        <v>714</v>
      </c>
      <c r="B501" s="2" t="s">
        <v>1031</v>
      </c>
      <c r="C501" s="26"/>
      <c r="D501" s="26"/>
      <c r="E501" s="26"/>
      <c r="F501" s="26"/>
      <c r="G501" s="26"/>
      <c r="H501" s="10"/>
      <c r="I501" s="10"/>
      <c r="J501" s="10"/>
      <c r="K501" s="1"/>
      <c r="M501" s="10"/>
      <c r="Q501" s="10"/>
      <c r="S501" s="1"/>
      <c r="T501" s="1"/>
      <c r="U501" s="1"/>
      <c r="V501" s="1"/>
      <c r="W501" s="1"/>
      <c r="X501" s="1"/>
      <c r="Y501" s="1"/>
      <c r="Z501" s="1"/>
    </row>
    <row r="502" spans="1:38" s="2" customFormat="1" hidden="1" x14ac:dyDescent="0.35">
      <c r="A502" s="2" t="s">
        <v>716</v>
      </c>
      <c r="B502" s="2" t="s">
        <v>1028</v>
      </c>
      <c r="C502" s="26" t="s">
        <v>567</v>
      </c>
      <c r="D502" s="26">
        <v>30</v>
      </c>
      <c r="E502" s="26"/>
      <c r="F502" s="26"/>
      <c r="G502" s="26" t="s">
        <v>53</v>
      </c>
      <c r="H502" s="2" t="s">
        <v>1078</v>
      </c>
      <c r="I502" s="10"/>
      <c r="J502" s="10"/>
      <c r="K502" s="1"/>
      <c r="L502" s="2">
        <v>30</v>
      </c>
      <c r="M502" s="10"/>
      <c r="N502" s="2">
        <v>30</v>
      </c>
      <c r="Q502" s="10"/>
      <c r="S502" s="1"/>
      <c r="T502" s="1">
        <v>2005</v>
      </c>
      <c r="U502" s="1">
        <v>2030</v>
      </c>
      <c r="V502" s="1">
        <v>0</v>
      </c>
      <c r="W502" s="1">
        <v>1</v>
      </c>
      <c r="X502" s="1" t="s">
        <v>51</v>
      </c>
      <c r="Y502" s="1" t="s">
        <v>51</v>
      </c>
      <c r="Z502" s="1"/>
      <c r="AB502" s="2">
        <v>0</v>
      </c>
      <c r="AF502" s="2" t="s">
        <v>717</v>
      </c>
    </row>
    <row r="503" spans="1:38" s="10" customFormat="1" ht="17" x14ac:dyDescent="0.35">
      <c r="A503" s="10" t="s">
        <v>716</v>
      </c>
      <c r="B503" s="10" t="s">
        <v>1029</v>
      </c>
      <c r="C503" s="23">
        <v>42500</v>
      </c>
      <c r="D503" s="10">
        <v>30</v>
      </c>
      <c r="E503" s="10" t="s">
        <v>1140</v>
      </c>
      <c r="F503" s="10" t="s">
        <v>1091</v>
      </c>
      <c r="G503" s="10" t="s">
        <v>53</v>
      </c>
      <c r="H503" s="10" t="s">
        <v>1078</v>
      </c>
      <c r="L503" s="10">
        <v>30</v>
      </c>
      <c r="M503" s="1"/>
      <c r="N503" s="10">
        <v>30</v>
      </c>
      <c r="O503" s="56"/>
      <c r="P503" s="1"/>
      <c r="Q503" s="59"/>
      <c r="T503" s="10">
        <v>2005</v>
      </c>
      <c r="U503" s="10">
        <v>2030</v>
      </c>
      <c r="V503" s="10">
        <v>0</v>
      </c>
      <c r="W503" s="10">
        <v>1</v>
      </c>
      <c r="X503" s="10" t="s">
        <v>51</v>
      </c>
      <c r="Y503" s="10" t="s">
        <v>51</v>
      </c>
      <c r="AB503" s="10">
        <v>0</v>
      </c>
      <c r="AF503" s="10" t="s">
        <v>717</v>
      </c>
    </row>
    <row r="504" spans="1:38" s="10" customFormat="1" ht="17" x14ac:dyDescent="0.35">
      <c r="A504" s="10" t="s">
        <v>716</v>
      </c>
      <c r="B504" s="10" t="s">
        <v>1030</v>
      </c>
      <c r="C504" s="23">
        <v>44266</v>
      </c>
      <c r="D504" s="10">
        <v>50</v>
      </c>
      <c r="E504" s="10" t="s">
        <v>1140</v>
      </c>
      <c r="F504" s="10" t="s">
        <v>1091</v>
      </c>
      <c r="G504" s="10" t="s">
        <v>53</v>
      </c>
      <c r="H504" s="10" t="s">
        <v>1078</v>
      </c>
      <c r="L504" s="10">
        <v>50</v>
      </c>
      <c r="M504" s="1"/>
      <c r="N504" s="10">
        <v>50</v>
      </c>
      <c r="O504" s="56"/>
      <c r="P504" s="1"/>
      <c r="Q504" s="59"/>
      <c r="T504" s="10">
        <v>2005</v>
      </c>
      <c r="U504" s="10">
        <v>2030</v>
      </c>
      <c r="V504" s="10">
        <v>0</v>
      </c>
      <c r="W504" s="10">
        <v>0</v>
      </c>
      <c r="X504" s="10" t="s">
        <v>51</v>
      </c>
      <c r="Y504" s="10" t="s">
        <v>51</v>
      </c>
      <c r="AB504" s="10">
        <v>0</v>
      </c>
      <c r="AF504" s="10" t="s">
        <v>135</v>
      </c>
    </row>
    <row r="505" spans="1:38" s="2" customFormat="1" hidden="1" x14ac:dyDescent="0.35">
      <c r="A505" s="2" t="s">
        <v>716</v>
      </c>
      <c r="B505" s="2" t="s">
        <v>1031</v>
      </c>
      <c r="C505" s="26" t="s">
        <v>718</v>
      </c>
      <c r="D505" s="26">
        <v>53</v>
      </c>
      <c r="E505" s="26"/>
      <c r="F505" s="26"/>
      <c r="G505" s="26"/>
      <c r="H505" s="2" t="s">
        <v>1078</v>
      </c>
      <c r="I505" s="10"/>
      <c r="J505" s="10"/>
      <c r="K505" s="1"/>
      <c r="L505" s="2">
        <v>53</v>
      </c>
      <c r="M505" s="10"/>
      <c r="N505" s="2">
        <v>53</v>
      </c>
      <c r="Q505" s="10"/>
      <c r="S505" s="1"/>
      <c r="T505" s="1">
        <v>2005</v>
      </c>
      <c r="U505" s="1">
        <v>2035</v>
      </c>
      <c r="V505" s="1">
        <v>0</v>
      </c>
      <c r="W505" s="1">
        <v>0</v>
      </c>
      <c r="X505" s="1" t="s">
        <v>51</v>
      </c>
      <c r="Y505" s="1" t="s">
        <v>51</v>
      </c>
      <c r="Z505" s="1"/>
      <c r="AB505" s="2">
        <v>0</v>
      </c>
      <c r="AF505" s="2" t="s">
        <v>719</v>
      </c>
    </row>
    <row r="506" spans="1:38" s="2" customFormat="1" hidden="1" x14ac:dyDescent="0.35">
      <c r="A506" s="2" t="s">
        <v>720</v>
      </c>
      <c r="B506" s="2" t="s">
        <v>1028</v>
      </c>
      <c r="C506" s="26"/>
      <c r="D506" s="26"/>
      <c r="E506" s="26"/>
      <c r="F506" s="26"/>
      <c r="G506" s="26"/>
      <c r="H506" s="10"/>
      <c r="I506" s="10"/>
      <c r="J506" s="10"/>
      <c r="K506" s="1"/>
      <c r="M506" s="10"/>
      <c r="Q506" s="10"/>
      <c r="S506" s="1"/>
      <c r="T506" s="1"/>
      <c r="U506" s="1"/>
      <c r="V506" s="1"/>
      <c r="W506" s="1"/>
      <c r="X506" s="1"/>
      <c r="Y506" s="1"/>
      <c r="Z506" s="1"/>
    </row>
    <row r="507" spans="1:38" s="10" customFormat="1" x14ac:dyDescent="0.35">
      <c r="A507" s="10" t="s">
        <v>720</v>
      </c>
      <c r="B507" s="10" t="s">
        <v>1029</v>
      </c>
      <c r="C507" s="10">
        <v>43168</v>
      </c>
      <c r="I507" s="22" t="s">
        <v>1085</v>
      </c>
      <c r="M507" s="1"/>
      <c r="O507" s="56"/>
      <c r="P507" s="1"/>
      <c r="Q507" s="59"/>
      <c r="V507" s="10">
        <v>1</v>
      </c>
      <c r="W507" s="10">
        <v>1</v>
      </c>
      <c r="AB507" s="10">
        <v>0</v>
      </c>
      <c r="AF507" s="10" t="s">
        <v>721</v>
      </c>
      <c r="AL507" s="10" t="s">
        <v>722</v>
      </c>
    </row>
    <row r="508" spans="1:38" s="10" customFormat="1" x14ac:dyDescent="0.35">
      <c r="A508" s="10" t="s">
        <v>720</v>
      </c>
      <c r="B508" s="10" t="s">
        <v>1030</v>
      </c>
      <c r="C508" s="10" t="s">
        <v>723</v>
      </c>
      <c r="D508" s="10">
        <v>10</v>
      </c>
      <c r="E508" s="10" t="s">
        <v>1096</v>
      </c>
      <c r="F508" s="10" t="s">
        <v>1153</v>
      </c>
      <c r="G508" s="10" t="s">
        <v>129</v>
      </c>
      <c r="J508" s="10">
        <v>1</v>
      </c>
      <c r="M508" s="1"/>
      <c r="O508" s="56"/>
      <c r="P508" s="1"/>
      <c r="Q508" s="59"/>
      <c r="S508" s="10" t="s">
        <v>45</v>
      </c>
      <c r="V508" s="10">
        <v>1</v>
      </c>
      <c r="W508" s="10">
        <v>1</v>
      </c>
      <c r="X508" s="10" t="s">
        <v>32</v>
      </c>
      <c r="Y508" s="10" t="s">
        <v>32</v>
      </c>
      <c r="AB508" s="10">
        <v>0</v>
      </c>
      <c r="AF508" s="10" t="s">
        <v>721</v>
      </c>
      <c r="AJ508" s="10" t="s">
        <v>724</v>
      </c>
    </row>
    <row r="509" spans="1:38" s="2" customFormat="1" hidden="1" x14ac:dyDescent="0.35">
      <c r="A509" s="2" t="s">
        <v>720</v>
      </c>
      <c r="B509" s="2" t="s">
        <v>1031</v>
      </c>
      <c r="C509" s="26"/>
      <c r="D509" s="26"/>
      <c r="E509" s="26"/>
      <c r="F509" s="26"/>
      <c r="G509" s="26"/>
      <c r="H509" s="10"/>
      <c r="I509" s="10"/>
      <c r="J509" s="10"/>
      <c r="K509" s="1"/>
      <c r="M509" s="10"/>
      <c r="Q509" s="10"/>
      <c r="S509" s="1"/>
      <c r="T509" s="1"/>
      <c r="U509" s="1"/>
      <c r="V509" s="1"/>
      <c r="W509" s="1"/>
      <c r="X509" s="1"/>
      <c r="Y509" s="1"/>
      <c r="Z509" s="1"/>
    </row>
    <row r="510" spans="1:38" s="2" customFormat="1" hidden="1" x14ac:dyDescent="0.35">
      <c r="A510" s="2" t="s">
        <v>725</v>
      </c>
      <c r="B510" s="2" t="s">
        <v>1028</v>
      </c>
      <c r="C510" s="26" t="s">
        <v>478</v>
      </c>
      <c r="D510" s="26">
        <v>34.6</v>
      </c>
      <c r="E510" s="26"/>
      <c r="F510" s="26"/>
      <c r="G510" s="26"/>
      <c r="H510" s="10" t="s">
        <v>1077</v>
      </c>
      <c r="I510" s="10"/>
      <c r="J510" s="10"/>
      <c r="K510" s="1"/>
      <c r="L510" s="2">
        <v>34.6</v>
      </c>
      <c r="M510" s="10"/>
      <c r="N510" s="2">
        <v>3.5</v>
      </c>
      <c r="P510" s="2">
        <v>31.1</v>
      </c>
      <c r="Q510" s="10"/>
      <c r="R510" s="2">
        <v>25</v>
      </c>
      <c r="S510" s="1" t="s">
        <v>45</v>
      </c>
      <c r="T510" s="1"/>
      <c r="U510" s="1">
        <v>2030</v>
      </c>
      <c r="V510" s="1">
        <v>1</v>
      </c>
      <c r="W510" s="1">
        <v>1</v>
      </c>
      <c r="X510" s="1" t="s">
        <v>32</v>
      </c>
      <c r="Y510" s="1" t="s">
        <v>32</v>
      </c>
      <c r="Z510" s="1"/>
      <c r="AA510" s="2">
        <v>2020</v>
      </c>
      <c r="AB510" s="2">
        <v>0</v>
      </c>
      <c r="AF510" s="2" t="s">
        <v>726</v>
      </c>
    </row>
    <row r="511" spans="1:38" s="10" customFormat="1" ht="17.5" x14ac:dyDescent="0.35">
      <c r="A511" s="10" t="s">
        <v>725</v>
      </c>
      <c r="B511" s="10" t="s">
        <v>1029</v>
      </c>
      <c r="C511" s="10" t="s">
        <v>40</v>
      </c>
      <c r="D511" s="10">
        <v>34.6</v>
      </c>
      <c r="E511" s="10" t="s">
        <v>1096</v>
      </c>
      <c r="F511" s="10" t="s">
        <v>1153</v>
      </c>
      <c r="G511" s="12" t="s">
        <v>157</v>
      </c>
      <c r="H511" s="10" t="s">
        <v>1077</v>
      </c>
      <c r="L511" s="10">
        <v>34.6</v>
      </c>
      <c r="M511" s="1"/>
      <c r="N511" s="10">
        <v>3.5</v>
      </c>
      <c r="O511" s="56"/>
      <c r="P511" s="1">
        <v>31.1</v>
      </c>
      <c r="Q511" s="59"/>
      <c r="R511" s="10">
        <v>25</v>
      </c>
      <c r="S511" s="10" t="s">
        <v>45</v>
      </c>
      <c r="U511" s="10">
        <v>2030</v>
      </c>
      <c r="V511" s="10">
        <v>1</v>
      </c>
      <c r="W511" s="10">
        <v>1</v>
      </c>
      <c r="X511" s="10" t="s">
        <v>32</v>
      </c>
      <c r="Y511" s="10" t="s">
        <v>32</v>
      </c>
      <c r="AA511" s="10">
        <v>2020</v>
      </c>
      <c r="AB511" s="10">
        <v>0</v>
      </c>
      <c r="AF511" s="10" t="s">
        <v>726</v>
      </c>
    </row>
    <row r="512" spans="1:38" s="10" customFormat="1" x14ac:dyDescent="0.35">
      <c r="A512" s="10" t="s">
        <v>725</v>
      </c>
      <c r="B512" s="10" t="s">
        <v>1030</v>
      </c>
      <c r="C512" s="10" t="s">
        <v>727</v>
      </c>
      <c r="D512" s="10">
        <v>22.75</v>
      </c>
      <c r="E512" s="10" t="s">
        <v>1161</v>
      </c>
      <c r="F512" s="10" t="s">
        <v>1153</v>
      </c>
      <c r="G512" s="10" t="s">
        <v>53</v>
      </c>
      <c r="H512" s="10" t="s">
        <v>1077</v>
      </c>
      <c r="L512" s="10">
        <v>22.75</v>
      </c>
      <c r="M512" s="1"/>
      <c r="N512" s="10">
        <v>12.57</v>
      </c>
      <c r="O512" s="56"/>
      <c r="P512" s="1">
        <v>22.75</v>
      </c>
      <c r="Q512" s="59"/>
      <c r="R512" s="10" t="s">
        <v>728</v>
      </c>
      <c r="U512" s="10">
        <v>2030</v>
      </c>
      <c r="V512" s="10">
        <v>1</v>
      </c>
      <c r="W512" s="10">
        <v>1</v>
      </c>
      <c r="X512" s="10" t="s">
        <v>32</v>
      </c>
      <c r="Y512" s="10" t="s">
        <v>32</v>
      </c>
      <c r="AA512" s="10">
        <v>2025</v>
      </c>
      <c r="AB512" s="10">
        <v>0</v>
      </c>
      <c r="AF512" s="10" t="s">
        <v>729</v>
      </c>
      <c r="AI512" s="10" t="s">
        <v>730</v>
      </c>
      <c r="AJ512" s="10" t="s">
        <v>730</v>
      </c>
    </row>
    <row r="513" spans="1:38" s="2" customFormat="1" hidden="1" x14ac:dyDescent="0.35">
      <c r="A513" s="2" t="s">
        <v>725</v>
      </c>
      <c r="B513" s="2" t="s">
        <v>1031</v>
      </c>
      <c r="C513" s="26"/>
      <c r="D513" s="26"/>
      <c r="E513" s="26"/>
      <c r="F513" s="26"/>
      <c r="G513" s="26"/>
      <c r="H513" s="10"/>
      <c r="I513" s="10"/>
      <c r="J513" s="10"/>
      <c r="K513" s="1"/>
      <c r="M513" s="10"/>
      <c r="Q513" s="10"/>
      <c r="S513" s="1"/>
      <c r="T513" s="1"/>
      <c r="U513" s="1"/>
      <c r="V513" s="1"/>
      <c r="W513" s="1"/>
      <c r="X513" s="1"/>
      <c r="Y513" s="1"/>
      <c r="Z513" s="1"/>
    </row>
    <row r="514" spans="1:38" s="2" customFormat="1" hidden="1" x14ac:dyDescent="0.35">
      <c r="A514" s="2" t="s">
        <v>731</v>
      </c>
      <c r="B514" s="2" t="s">
        <v>1028</v>
      </c>
      <c r="C514" s="26" t="s">
        <v>732</v>
      </c>
      <c r="D514" s="26">
        <v>45</v>
      </c>
      <c r="E514" s="26"/>
      <c r="F514" s="26"/>
      <c r="G514" s="26"/>
      <c r="H514" s="10" t="s">
        <v>1077</v>
      </c>
      <c r="I514" s="10"/>
      <c r="J514" s="10"/>
      <c r="K514" s="1"/>
      <c r="L514" s="2">
        <v>45</v>
      </c>
      <c r="M514" s="10"/>
      <c r="N514" s="2">
        <v>20</v>
      </c>
      <c r="P514" s="2">
        <v>25</v>
      </c>
      <c r="Q514" s="10"/>
      <c r="S514" s="1" t="s">
        <v>45</v>
      </c>
      <c r="T514" s="1"/>
      <c r="U514" s="1">
        <v>2030</v>
      </c>
      <c r="V514" s="1">
        <v>1</v>
      </c>
      <c r="W514" s="1">
        <v>1</v>
      </c>
      <c r="X514" s="1" t="s">
        <v>32</v>
      </c>
      <c r="Y514" s="1" t="s">
        <v>32</v>
      </c>
      <c r="Z514" s="1"/>
      <c r="AB514" s="2">
        <v>0</v>
      </c>
      <c r="AF514" s="2" t="s">
        <v>733</v>
      </c>
    </row>
    <row r="515" spans="1:38" s="10" customFormat="1" ht="17.5" x14ac:dyDescent="0.35">
      <c r="A515" s="10" t="s">
        <v>731</v>
      </c>
      <c r="B515" s="10" t="s">
        <v>1029</v>
      </c>
      <c r="C515" s="10" t="s">
        <v>734</v>
      </c>
      <c r="D515" s="10">
        <v>45</v>
      </c>
      <c r="E515" s="10" t="s">
        <v>1096</v>
      </c>
      <c r="F515" s="10" t="s">
        <v>1153</v>
      </c>
      <c r="G515" s="12" t="s">
        <v>157</v>
      </c>
      <c r="H515" s="10" t="s">
        <v>1077</v>
      </c>
      <c r="L515" s="10">
        <v>45</v>
      </c>
      <c r="M515" s="1"/>
      <c r="N515" s="10">
        <v>20</v>
      </c>
      <c r="O515" s="56"/>
      <c r="P515" s="1">
        <v>25</v>
      </c>
      <c r="Q515" s="59"/>
      <c r="S515" s="10" t="s">
        <v>45</v>
      </c>
      <c r="U515" s="10">
        <v>2030</v>
      </c>
      <c r="V515" s="10">
        <v>1</v>
      </c>
      <c r="W515" s="10">
        <v>1</v>
      </c>
      <c r="X515" s="10" t="s">
        <v>32</v>
      </c>
      <c r="Y515" s="10" t="s">
        <v>32</v>
      </c>
      <c r="AB515" s="10">
        <v>0</v>
      </c>
      <c r="AF515" s="10" t="s">
        <v>733</v>
      </c>
    </row>
    <row r="516" spans="1:38" s="10" customFormat="1" ht="17.5" x14ac:dyDescent="0.35">
      <c r="A516" s="10" t="s">
        <v>731</v>
      </c>
      <c r="B516" s="10" t="s">
        <v>1030</v>
      </c>
      <c r="C516" s="10" t="s">
        <v>144</v>
      </c>
      <c r="D516" s="10" t="s">
        <v>735</v>
      </c>
      <c r="E516" s="10" t="s">
        <v>1096</v>
      </c>
      <c r="F516" s="10" t="s">
        <v>1153</v>
      </c>
      <c r="G516" s="12" t="s">
        <v>53</v>
      </c>
      <c r="H516" s="10" t="s">
        <v>1077</v>
      </c>
      <c r="L516" s="10" t="s">
        <v>735</v>
      </c>
      <c r="M516" s="1"/>
      <c r="N516" s="10">
        <v>20</v>
      </c>
      <c r="O516" s="56"/>
      <c r="P516" s="1">
        <v>27</v>
      </c>
      <c r="Q516" s="59"/>
      <c r="S516" s="10" t="s">
        <v>45</v>
      </c>
      <c r="U516" s="10">
        <v>2030</v>
      </c>
      <c r="V516" s="10">
        <v>1</v>
      </c>
      <c r="W516" s="10">
        <v>1</v>
      </c>
      <c r="X516" s="10" t="s">
        <v>32</v>
      </c>
      <c r="Y516" s="10" t="s">
        <v>32</v>
      </c>
      <c r="AB516" s="10">
        <v>0</v>
      </c>
      <c r="AF516" s="10" t="s">
        <v>733</v>
      </c>
    </row>
    <row r="517" spans="1:38" s="2" customFormat="1" hidden="1" x14ac:dyDescent="0.35">
      <c r="A517" s="2" t="s">
        <v>731</v>
      </c>
      <c r="B517" s="2" t="s">
        <v>1031</v>
      </c>
      <c r="C517" s="26"/>
      <c r="D517" s="26">
        <v>35.32</v>
      </c>
      <c r="E517" s="26"/>
      <c r="F517" s="26"/>
      <c r="G517" s="26"/>
      <c r="H517" s="10" t="s">
        <v>1077</v>
      </c>
      <c r="I517" s="10"/>
      <c r="J517" s="10"/>
      <c r="K517" s="1"/>
      <c r="L517" s="2">
        <v>35.32</v>
      </c>
      <c r="M517" s="10"/>
      <c r="N517" s="2">
        <v>12.57</v>
      </c>
      <c r="P517" s="2">
        <v>22.75</v>
      </c>
      <c r="Q517" s="10"/>
      <c r="R517" s="2">
        <v>2018</v>
      </c>
      <c r="S517" s="1"/>
      <c r="T517" s="1"/>
      <c r="U517" s="1">
        <v>2030</v>
      </c>
      <c r="V517" s="1">
        <v>1</v>
      </c>
      <c r="W517" s="1">
        <v>1</v>
      </c>
      <c r="X517" s="1" t="s">
        <v>32</v>
      </c>
      <c r="Y517" s="1" t="s">
        <v>32</v>
      </c>
      <c r="Z517" s="1"/>
      <c r="AB517" s="2">
        <v>0</v>
      </c>
    </row>
    <row r="518" spans="1:38" s="2" customFormat="1" hidden="1" x14ac:dyDescent="0.35">
      <c r="A518" s="2" t="s">
        <v>736</v>
      </c>
      <c r="B518" s="2" t="s">
        <v>1028</v>
      </c>
      <c r="C518" s="26" t="s">
        <v>567</v>
      </c>
      <c r="D518" s="26"/>
      <c r="E518" s="26"/>
      <c r="F518" s="26"/>
      <c r="G518" s="26"/>
      <c r="H518" s="10"/>
      <c r="I518" s="10"/>
      <c r="J518" s="10"/>
      <c r="K518" s="1"/>
      <c r="M518" s="10"/>
      <c r="Q518" s="10"/>
      <c r="S518" s="1"/>
      <c r="T518" s="1"/>
      <c r="U518" s="1"/>
      <c r="V518" s="1">
        <v>1</v>
      </c>
      <c r="W518" s="1">
        <v>1</v>
      </c>
      <c r="X518" s="1"/>
      <c r="Y518" s="1"/>
      <c r="Z518" s="1"/>
      <c r="AB518" s="2">
        <v>0</v>
      </c>
      <c r="AF518" s="2" t="s">
        <v>329</v>
      </c>
      <c r="AL518" s="2" t="s">
        <v>737</v>
      </c>
    </row>
    <row r="519" spans="1:38" s="46" customFormat="1" x14ac:dyDescent="0.35">
      <c r="A519" s="46" t="s">
        <v>736</v>
      </c>
      <c r="B519" s="46" t="s">
        <v>1029</v>
      </c>
      <c r="C519" s="46" t="s">
        <v>738</v>
      </c>
      <c r="I519" s="48" t="s">
        <v>1085</v>
      </c>
      <c r="M519" s="51"/>
      <c r="O519" s="57"/>
      <c r="P519" s="51"/>
      <c r="Q519" s="60"/>
      <c r="V519" s="46">
        <v>1</v>
      </c>
      <c r="W519" s="46">
        <v>1</v>
      </c>
      <c r="AB519" s="46">
        <v>0</v>
      </c>
      <c r="AF519" s="46" t="s">
        <v>329</v>
      </c>
      <c r="AL519" s="46" t="s">
        <v>737</v>
      </c>
    </row>
    <row r="520" spans="1:38" s="46" customFormat="1" x14ac:dyDescent="0.35">
      <c r="A520" s="46" t="s">
        <v>736</v>
      </c>
      <c r="B520" s="46" t="s">
        <v>1030</v>
      </c>
      <c r="I520" s="46" t="s">
        <v>1082</v>
      </c>
      <c r="M520" s="51"/>
      <c r="O520" s="57"/>
      <c r="P520" s="51"/>
      <c r="Q520" s="60"/>
    </row>
    <row r="521" spans="1:38" s="2" customFormat="1" hidden="1" x14ac:dyDescent="0.35">
      <c r="A521" s="2" t="s">
        <v>736</v>
      </c>
      <c r="B521" s="2" t="s">
        <v>1031</v>
      </c>
      <c r="C521" s="26"/>
      <c r="D521" s="26"/>
      <c r="E521" s="26"/>
      <c r="F521" s="26"/>
      <c r="G521" s="26"/>
      <c r="H521" s="10"/>
      <c r="I521" s="21" t="s">
        <v>1085</v>
      </c>
      <c r="J521" s="10"/>
      <c r="K521" s="1"/>
      <c r="M521" s="10"/>
      <c r="Q521" s="10"/>
      <c r="S521" s="1"/>
      <c r="T521" s="1"/>
      <c r="U521" s="1"/>
      <c r="V521" s="1"/>
      <c r="W521" s="1"/>
      <c r="X521" s="1"/>
      <c r="Y521" s="1"/>
      <c r="Z521" s="1"/>
    </row>
    <row r="522" spans="1:38" s="2" customFormat="1" hidden="1" x14ac:dyDescent="0.35">
      <c r="A522" s="2" t="s">
        <v>739</v>
      </c>
      <c r="B522" s="2" t="s">
        <v>1028</v>
      </c>
      <c r="C522" s="26" t="s">
        <v>740</v>
      </c>
      <c r="D522" s="26">
        <v>32.25</v>
      </c>
      <c r="E522" s="26"/>
      <c r="F522" s="26"/>
      <c r="G522" s="26" t="s">
        <v>53</v>
      </c>
      <c r="H522" s="10" t="s">
        <v>1077</v>
      </c>
      <c r="I522" s="10"/>
      <c r="J522" s="10"/>
      <c r="K522" s="1"/>
      <c r="L522" s="2">
        <v>32.25</v>
      </c>
      <c r="M522" s="10"/>
      <c r="N522" s="2">
        <v>8</v>
      </c>
      <c r="P522" s="2">
        <v>24.25</v>
      </c>
      <c r="Q522" s="10"/>
      <c r="S522" s="1" t="s">
        <v>45</v>
      </c>
      <c r="T522" s="1"/>
      <c r="U522" s="1">
        <v>2030</v>
      </c>
      <c r="V522" s="1">
        <v>1</v>
      </c>
      <c r="W522" s="1">
        <v>1</v>
      </c>
      <c r="X522" s="1" t="s">
        <v>32</v>
      </c>
      <c r="Y522" s="1" t="s">
        <v>32</v>
      </c>
      <c r="Z522" s="1"/>
      <c r="AB522" s="2">
        <v>0</v>
      </c>
      <c r="AF522" s="2" t="s">
        <v>741</v>
      </c>
    </row>
    <row r="523" spans="1:38" s="10" customFormat="1" ht="17" x14ac:dyDescent="0.35">
      <c r="A523" s="10" t="s">
        <v>739</v>
      </c>
      <c r="B523" s="10" t="s">
        <v>1029</v>
      </c>
      <c r="C523" s="33">
        <v>42439</v>
      </c>
      <c r="D523" s="10">
        <v>32.25</v>
      </c>
      <c r="E523" s="10" t="s">
        <v>1096</v>
      </c>
      <c r="F523" s="10" t="s">
        <v>1160</v>
      </c>
      <c r="G523" s="10" t="s">
        <v>53</v>
      </c>
      <c r="H523" s="10" t="s">
        <v>1077</v>
      </c>
      <c r="L523" s="10">
        <v>32.25</v>
      </c>
      <c r="M523" s="1"/>
      <c r="N523" s="10">
        <v>8</v>
      </c>
      <c r="O523" s="56"/>
      <c r="P523" s="1">
        <v>24.25</v>
      </c>
      <c r="Q523" s="59"/>
      <c r="S523" s="10" t="s">
        <v>45</v>
      </c>
      <c r="U523" s="10">
        <v>2030</v>
      </c>
      <c r="V523" s="10">
        <v>1</v>
      </c>
      <c r="W523" s="10">
        <v>1</v>
      </c>
      <c r="X523" s="10" t="s">
        <v>32</v>
      </c>
      <c r="Y523" s="10" t="s">
        <v>32</v>
      </c>
      <c r="AB523" s="10">
        <v>0</v>
      </c>
      <c r="AF523" s="10" t="s">
        <v>741</v>
      </c>
    </row>
    <row r="524" spans="1:38" s="10" customFormat="1" x14ac:dyDescent="0.35">
      <c r="A524" s="10" t="s">
        <v>739</v>
      </c>
      <c r="B524" s="10" t="s">
        <v>1030</v>
      </c>
      <c r="C524" s="10" t="s">
        <v>742</v>
      </c>
      <c r="D524" s="10">
        <v>36</v>
      </c>
      <c r="E524" s="10" t="s">
        <v>1096</v>
      </c>
      <c r="F524" s="10" t="s">
        <v>1153</v>
      </c>
      <c r="G524" s="10" t="s">
        <v>53</v>
      </c>
      <c r="H524" s="10" t="s">
        <v>1077</v>
      </c>
      <c r="L524" s="10">
        <v>36</v>
      </c>
      <c r="M524" s="1"/>
      <c r="N524" s="10" t="s">
        <v>743</v>
      </c>
      <c r="O524" s="56"/>
      <c r="P524" s="1">
        <v>20.6</v>
      </c>
      <c r="Q524" s="59"/>
      <c r="S524" s="10" t="s">
        <v>45</v>
      </c>
      <c r="U524" s="10">
        <v>2030</v>
      </c>
      <c r="V524" s="10">
        <v>1</v>
      </c>
      <c r="W524" s="10">
        <v>1</v>
      </c>
      <c r="X524" s="10" t="s">
        <v>32</v>
      </c>
      <c r="Y524" s="10" t="s">
        <v>32</v>
      </c>
      <c r="AB524" s="10">
        <v>0</v>
      </c>
      <c r="AF524" s="10" t="s">
        <v>294</v>
      </c>
    </row>
    <row r="525" spans="1:38" s="2" customFormat="1" hidden="1" x14ac:dyDescent="0.35">
      <c r="A525" s="2" t="s">
        <v>739</v>
      </c>
      <c r="B525" s="2" t="s">
        <v>1031</v>
      </c>
      <c r="C525" s="26"/>
      <c r="D525" s="26"/>
      <c r="E525" s="26"/>
      <c r="F525" s="26"/>
      <c r="G525" s="26"/>
      <c r="H525" s="10"/>
      <c r="I525" s="10"/>
      <c r="J525" s="10"/>
      <c r="K525" s="1"/>
      <c r="M525" s="10"/>
      <c r="Q525" s="10"/>
      <c r="S525" s="1"/>
      <c r="T525" s="1"/>
      <c r="U525" s="1"/>
      <c r="V525" s="1"/>
      <c r="W525" s="1"/>
      <c r="X525" s="1"/>
      <c r="Y525" s="1"/>
      <c r="Z525" s="1"/>
    </row>
    <row r="526" spans="1:38" s="2" customFormat="1" hidden="1" x14ac:dyDescent="0.35">
      <c r="A526" s="2" t="s">
        <v>744</v>
      </c>
      <c r="B526" s="2" t="s">
        <v>1028</v>
      </c>
      <c r="C526" s="26">
        <v>42132</v>
      </c>
      <c r="D526" s="26">
        <v>33</v>
      </c>
      <c r="E526" s="26"/>
      <c r="F526" s="26"/>
      <c r="G526" s="26"/>
      <c r="H526" s="10" t="s">
        <v>1077</v>
      </c>
      <c r="I526" s="10"/>
      <c r="J526" s="10"/>
      <c r="K526" s="1"/>
      <c r="L526" s="2">
        <v>33</v>
      </c>
      <c r="M526" s="10"/>
      <c r="Q526" s="10"/>
      <c r="S526" s="1" t="s">
        <v>45</v>
      </c>
      <c r="T526" s="1"/>
      <c r="U526" s="1">
        <v>2030</v>
      </c>
      <c r="V526" s="1">
        <v>1</v>
      </c>
      <c r="W526" s="1">
        <v>1</v>
      </c>
      <c r="X526" s="1" t="s">
        <v>32</v>
      </c>
      <c r="Y526" s="1" t="s">
        <v>32</v>
      </c>
      <c r="Z526" s="1"/>
      <c r="AB526" s="2">
        <v>0</v>
      </c>
      <c r="AF526" s="2" t="s">
        <v>745</v>
      </c>
    </row>
    <row r="527" spans="1:38" s="10" customFormat="1" x14ac:dyDescent="0.35">
      <c r="A527" s="10" t="s">
        <v>744</v>
      </c>
      <c r="B527" s="10" t="s">
        <v>1029</v>
      </c>
      <c r="C527" s="10" t="s">
        <v>746</v>
      </c>
      <c r="D527" s="10">
        <v>33</v>
      </c>
      <c r="E527" s="10" t="s">
        <v>1096</v>
      </c>
      <c r="F527" s="10" t="s">
        <v>1153</v>
      </c>
      <c r="G527" s="10" t="s">
        <v>1117</v>
      </c>
      <c r="H527" s="10" t="s">
        <v>1077</v>
      </c>
      <c r="L527" s="10">
        <v>33</v>
      </c>
      <c r="M527" s="1"/>
      <c r="O527" s="56"/>
      <c r="P527" s="1"/>
      <c r="Q527" s="59"/>
      <c r="S527" s="10" t="s">
        <v>45</v>
      </c>
      <c r="U527" s="10">
        <v>2030</v>
      </c>
      <c r="V527" s="10">
        <v>1</v>
      </c>
      <c r="W527" s="10">
        <v>1</v>
      </c>
      <c r="X527" s="10" t="s">
        <v>32</v>
      </c>
      <c r="Y527" s="10" t="s">
        <v>32</v>
      </c>
      <c r="AB527" s="10">
        <v>0</v>
      </c>
      <c r="AF527" s="10" t="s">
        <v>745</v>
      </c>
    </row>
    <row r="528" spans="1:38" s="10" customFormat="1" x14ac:dyDescent="0.35">
      <c r="A528" s="10" t="s">
        <v>744</v>
      </c>
      <c r="B528" s="10" t="s">
        <v>1030</v>
      </c>
      <c r="C528" s="10" t="s">
        <v>747</v>
      </c>
      <c r="D528" s="10">
        <v>51</v>
      </c>
      <c r="E528" s="10" t="s">
        <v>1162</v>
      </c>
      <c r="F528" s="10" t="s">
        <v>1150</v>
      </c>
      <c r="G528" s="10" t="s">
        <v>53</v>
      </c>
      <c r="H528" s="10" t="s">
        <v>1077</v>
      </c>
      <c r="L528" s="10">
        <v>51</v>
      </c>
      <c r="M528" s="1"/>
      <c r="O528" s="56"/>
      <c r="P528" s="1"/>
      <c r="Q528" s="59"/>
      <c r="T528" s="10">
        <v>1990</v>
      </c>
      <c r="U528" s="10">
        <v>2030</v>
      </c>
      <c r="V528" s="10">
        <v>1</v>
      </c>
      <c r="W528" s="10">
        <v>1</v>
      </c>
      <c r="X528" s="10" t="s">
        <v>51</v>
      </c>
      <c r="Y528" s="10" t="s">
        <v>51</v>
      </c>
      <c r="AB528" s="10">
        <v>0</v>
      </c>
      <c r="AF528" s="10" t="s">
        <v>748</v>
      </c>
    </row>
    <row r="529" spans="1:38" s="2" customFormat="1" hidden="1" x14ac:dyDescent="0.35">
      <c r="A529" s="2" t="s">
        <v>744</v>
      </c>
      <c r="B529" s="2" t="s">
        <v>1031</v>
      </c>
      <c r="C529" s="26"/>
      <c r="D529" s="26"/>
      <c r="E529" s="26"/>
      <c r="F529" s="26"/>
      <c r="G529" s="26"/>
      <c r="H529" s="10"/>
      <c r="I529" s="10"/>
      <c r="J529" s="10"/>
      <c r="K529" s="1"/>
      <c r="M529" s="10"/>
      <c r="Q529" s="10"/>
      <c r="S529" s="1"/>
      <c r="T529" s="1"/>
      <c r="U529" s="1"/>
      <c r="V529" s="1"/>
      <c r="W529" s="1"/>
      <c r="X529" s="1"/>
      <c r="Y529" s="1"/>
      <c r="Z529" s="1"/>
    </row>
    <row r="530" spans="1:38" s="2" customFormat="1" hidden="1" x14ac:dyDescent="0.35">
      <c r="A530" s="2" t="s">
        <v>749</v>
      </c>
      <c r="B530" s="2" t="s">
        <v>1028</v>
      </c>
      <c r="C530" s="26" t="s">
        <v>750</v>
      </c>
      <c r="D530" s="26">
        <v>40</v>
      </c>
      <c r="E530" s="26"/>
      <c r="F530" s="26"/>
      <c r="G530" s="26" t="s">
        <v>53</v>
      </c>
      <c r="H530" s="2" t="s">
        <v>1078</v>
      </c>
      <c r="I530" s="10"/>
      <c r="J530" s="10"/>
      <c r="K530" s="1"/>
      <c r="L530" s="2">
        <v>40</v>
      </c>
      <c r="M530" s="10"/>
      <c r="N530" s="2">
        <v>40</v>
      </c>
      <c r="Q530" s="10"/>
      <c r="S530" s="1"/>
      <c r="T530" s="1">
        <v>1990</v>
      </c>
      <c r="U530" s="1">
        <v>2030</v>
      </c>
      <c r="V530" s="1">
        <v>0</v>
      </c>
      <c r="W530" s="1">
        <v>0</v>
      </c>
      <c r="X530" s="1" t="s">
        <v>51</v>
      </c>
      <c r="Y530" s="1" t="s">
        <v>51</v>
      </c>
      <c r="Z530" s="1"/>
      <c r="AB530" s="2">
        <v>1</v>
      </c>
      <c r="AC530" s="2">
        <v>2050</v>
      </c>
      <c r="AF530" s="2" t="s">
        <v>215</v>
      </c>
      <c r="AL530" s="2" t="s">
        <v>101</v>
      </c>
    </row>
    <row r="531" spans="1:38" s="10" customFormat="1" x14ac:dyDescent="0.35">
      <c r="A531" s="10" t="s">
        <v>749</v>
      </c>
      <c r="B531" s="10" t="s">
        <v>1029</v>
      </c>
      <c r="C531" s="10" t="s">
        <v>751</v>
      </c>
      <c r="D531" s="10">
        <v>40</v>
      </c>
      <c r="E531" s="10" t="s">
        <v>1140</v>
      </c>
      <c r="F531" s="10" t="s">
        <v>1140</v>
      </c>
      <c r="G531" s="10" t="s">
        <v>53</v>
      </c>
      <c r="H531" s="10" t="s">
        <v>1078</v>
      </c>
      <c r="L531" s="10">
        <v>40</v>
      </c>
      <c r="M531" s="1"/>
      <c r="N531" s="10">
        <v>40</v>
      </c>
      <c r="O531" s="56"/>
      <c r="P531" s="1"/>
      <c r="Q531" s="59"/>
      <c r="T531" s="10">
        <v>1990</v>
      </c>
      <c r="U531" s="10">
        <v>2030</v>
      </c>
      <c r="V531" s="10">
        <v>0</v>
      </c>
      <c r="W531" s="10">
        <v>0</v>
      </c>
      <c r="X531" s="10" t="s">
        <v>51</v>
      </c>
      <c r="Y531" s="10" t="s">
        <v>51</v>
      </c>
      <c r="AB531" s="10">
        <v>1</v>
      </c>
      <c r="AC531" s="10">
        <v>2050</v>
      </c>
      <c r="AF531" s="10" t="s">
        <v>215</v>
      </c>
      <c r="AL531" s="10" t="s">
        <v>101</v>
      </c>
    </row>
    <row r="532" spans="1:38" s="10" customFormat="1" x14ac:dyDescent="0.35">
      <c r="A532" s="10" t="s">
        <v>749</v>
      </c>
      <c r="B532" s="10" t="s">
        <v>1030</v>
      </c>
      <c r="C532" s="10">
        <v>44631</v>
      </c>
      <c r="D532" s="10" t="s">
        <v>342</v>
      </c>
      <c r="E532" s="10" t="s">
        <v>1140</v>
      </c>
      <c r="F532" s="10" t="s">
        <v>1140</v>
      </c>
      <c r="G532" s="10" t="s">
        <v>53</v>
      </c>
      <c r="H532" s="10" t="s">
        <v>1078</v>
      </c>
      <c r="L532" s="10" t="s">
        <v>342</v>
      </c>
      <c r="M532" s="1"/>
      <c r="N532" s="10" t="s">
        <v>342</v>
      </c>
      <c r="O532" s="56"/>
      <c r="P532" s="1"/>
      <c r="Q532" s="59"/>
      <c r="T532" s="10">
        <v>1990</v>
      </c>
      <c r="U532" s="10">
        <v>2030</v>
      </c>
      <c r="V532" s="10">
        <v>0</v>
      </c>
      <c r="W532" s="10">
        <v>0</v>
      </c>
      <c r="X532" s="10" t="s">
        <v>51</v>
      </c>
      <c r="Y532" s="10" t="s">
        <v>51</v>
      </c>
      <c r="AB532" s="10">
        <v>1</v>
      </c>
      <c r="AC532" s="10">
        <v>2050</v>
      </c>
      <c r="AF532" s="10" t="s">
        <v>215</v>
      </c>
      <c r="AL532" s="10" t="s">
        <v>343</v>
      </c>
    </row>
    <row r="533" spans="1:38" s="2" customFormat="1" ht="17" hidden="1" x14ac:dyDescent="0.35">
      <c r="A533" s="2" t="s">
        <v>749</v>
      </c>
      <c r="B533" s="2" t="s">
        <v>1031</v>
      </c>
      <c r="C533" s="30" t="s">
        <v>1060</v>
      </c>
      <c r="D533" s="26">
        <v>72.5</v>
      </c>
      <c r="E533" s="26"/>
      <c r="F533" s="26"/>
      <c r="G533" s="26"/>
      <c r="H533" s="2" t="s">
        <v>1078</v>
      </c>
      <c r="I533" s="14"/>
      <c r="J533" s="14"/>
      <c r="K533" s="18"/>
      <c r="L533" s="2">
        <v>72.5</v>
      </c>
      <c r="M533" s="10"/>
      <c r="N533" s="2">
        <v>72.5</v>
      </c>
      <c r="Q533" s="10"/>
      <c r="S533" s="1"/>
      <c r="T533" s="1">
        <v>1990</v>
      </c>
      <c r="U533" s="1">
        <v>2035</v>
      </c>
      <c r="V533" s="1">
        <v>0</v>
      </c>
      <c r="W533" s="1">
        <v>0</v>
      </c>
      <c r="X533" s="1" t="s">
        <v>51</v>
      </c>
      <c r="Y533" s="1" t="s">
        <v>51</v>
      </c>
      <c r="Z533" s="1"/>
      <c r="AB533" s="2">
        <v>1</v>
      </c>
    </row>
    <row r="534" spans="1:38" s="2" customFormat="1" hidden="1" x14ac:dyDescent="0.35">
      <c r="A534" s="2" t="s">
        <v>752</v>
      </c>
      <c r="B534" s="2" t="s">
        <v>1028</v>
      </c>
      <c r="C534" s="26" t="s">
        <v>68</v>
      </c>
      <c r="D534" s="26">
        <v>2</v>
      </c>
      <c r="E534" s="26"/>
      <c r="F534" s="26"/>
      <c r="G534" s="26" t="s">
        <v>753</v>
      </c>
      <c r="H534" s="2" t="s">
        <v>1076</v>
      </c>
      <c r="I534" s="10"/>
      <c r="J534" s="10"/>
      <c r="K534" s="1"/>
      <c r="L534" s="2">
        <v>2</v>
      </c>
      <c r="M534" s="10"/>
      <c r="P534" s="2">
        <v>2</v>
      </c>
      <c r="Q534" s="10"/>
      <c r="S534" s="1" t="s">
        <v>45</v>
      </c>
      <c r="T534" s="1"/>
      <c r="U534" s="1">
        <v>2030</v>
      </c>
      <c r="V534" s="1">
        <v>1</v>
      </c>
      <c r="W534" s="1">
        <v>1</v>
      </c>
      <c r="X534" s="1" t="s">
        <v>32</v>
      </c>
      <c r="Y534" s="1" t="s">
        <v>32</v>
      </c>
      <c r="Z534" s="1"/>
      <c r="AB534" s="2">
        <v>0</v>
      </c>
      <c r="AF534" s="2" t="s">
        <v>754</v>
      </c>
    </row>
    <row r="535" spans="1:38" s="1" customFormat="1" x14ac:dyDescent="0.35">
      <c r="A535" s="1" t="s">
        <v>752</v>
      </c>
      <c r="B535" s="1" t="s">
        <v>1029</v>
      </c>
      <c r="C535" s="1" t="s">
        <v>755</v>
      </c>
      <c r="D535" s="1">
        <v>2</v>
      </c>
      <c r="E535" s="1" t="s">
        <v>1097</v>
      </c>
      <c r="F535" s="1" t="s">
        <v>1097</v>
      </c>
      <c r="G535" s="1" t="s">
        <v>753</v>
      </c>
      <c r="H535" s="1" t="s">
        <v>1076</v>
      </c>
      <c r="L535" s="1">
        <v>2</v>
      </c>
      <c r="O535" s="56"/>
      <c r="P535" s="1">
        <v>2</v>
      </c>
      <c r="Q535" s="59"/>
      <c r="S535" s="1" t="s">
        <v>45</v>
      </c>
      <c r="U535" s="1">
        <v>2030</v>
      </c>
      <c r="V535" s="1">
        <v>1</v>
      </c>
      <c r="W535" s="1">
        <v>1</v>
      </c>
      <c r="X535" s="1" t="s">
        <v>32</v>
      </c>
      <c r="Y535" s="1" t="s">
        <v>32</v>
      </c>
      <c r="AB535" s="1">
        <v>0</v>
      </c>
      <c r="AF535" s="1" t="s">
        <v>754</v>
      </c>
    </row>
    <row r="536" spans="1:38" s="1" customFormat="1" x14ac:dyDescent="0.35">
      <c r="A536" s="1" t="s">
        <v>752</v>
      </c>
      <c r="B536" s="1" t="s">
        <v>1030</v>
      </c>
      <c r="C536" s="1" t="s">
        <v>756</v>
      </c>
      <c r="D536" s="1">
        <v>21</v>
      </c>
      <c r="E536" s="1" t="s">
        <v>1096</v>
      </c>
      <c r="F536" s="1" t="s">
        <v>1153</v>
      </c>
      <c r="G536" s="1" t="s">
        <v>53</v>
      </c>
      <c r="H536" s="10" t="s">
        <v>1077</v>
      </c>
      <c r="L536" s="1">
        <v>21</v>
      </c>
      <c r="N536" s="1">
        <v>7</v>
      </c>
      <c r="O536" s="56"/>
      <c r="P536" s="1">
        <v>14</v>
      </c>
      <c r="Q536" s="59"/>
      <c r="S536" s="1" t="s">
        <v>45</v>
      </c>
      <c r="U536" s="1">
        <v>2030</v>
      </c>
      <c r="V536" s="1">
        <v>1</v>
      </c>
      <c r="W536" s="1">
        <v>1</v>
      </c>
      <c r="X536" s="1" t="s">
        <v>32</v>
      </c>
      <c r="Y536" s="1" t="s">
        <v>32</v>
      </c>
      <c r="AB536" s="1">
        <v>0</v>
      </c>
      <c r="AF536" s="1" t="s">
        <v>757</v>
      </c>
    </row>
    <row r="537" spans="1:38" s="2" customFormat="1" hidden="1" x14ac:dyDescent="0.35">
      <c r="A537" s="2" t="s">
        <v>752</v>
      </c>
      <c r="B537" s="2" t="s">
        <v>1031</v>
      </c>
      <c r="C537" s="26"/>
      <c r="D537" s="26"/>
      <c r="E537" s="26"/>
      <c r="F537" s="26"/>
      <c r="G537" s="26"/>
      <c r="H537" s="10"/>
      <c r="I537" s="10"/>
      <c r="J537" s="10"/>
      <c r="K537" s="1"/>
      <c r="M537" s="10"/>
      <c r="Q537" s="10"/>
      <c r="S537" s="1"/>
      <c r="T537" s="1"/>
      <c r="U537" s="1"/>
      <c r="V537" s="1"/>
      <c r="W537" s="1"/>
      <c r="X537" s="1"/>
      <c r="Y537" s="1"/>
      <c r="Z537" s="1"/>
    </row>
    <row r="538" spans="1:38" s="2" customFormat="1" hidden="1" x14ac:dyDescent="0.35">
      <c r="A538" s="2" t="s">
        <v>758</v>
      </c>
      <c r="B538" s="2" t="s">
        <v>1028</v>
      </c>
      <c r="C538" s="26">
        <v>42532</v>
      </c>
      <c r="D538" s="26"/>
      <c r="E538" s="26"/>
      <c r="F538" s="26"/>
      <c r="G538" s="26"/>
      <c r="H538" s="10"/>
      <c r="I538" s="10"/>
      <c r="J538" s="10"/>
      <c r="K538" s="1"/>
      <c r="M538" s="10"/>
      <c r="Q538" s="10"/>
      <c r="S538" s="1"/>
      <c r="T538" s="1"/>
      <c r="U538" s="1"/>
      <c r="V538" s="1">
        <v>1</v>
      </c>
      <c r="W538" s="1">
        <v>1</v>
      </c>
      <c r="X538" s="1"/>
      <c r="Y538" s="1"/>
      <c r="Z538" s="1"/>
      <c r="AB538" s="2">
        <v>0</v>
      </c>
      <c r="AF538" s="2" t="s">
        <v>759</v>
      </c>
    </row>
    <row r="539" spans="1:38" s="10" customFormat="1" ht="17" x14ac:dyDescent="0.35">
      <c r="A539" s="10" t="s">
        <v>758</v>
      </c>
      <c r="B539" s="10" t="s">
        <v>1029</v>
      </c>
      <c r="C539" s="33">
        <v>42654</v>
      </c>
      <c r="D539" s="10">
        <v>20</v>
      </c>
      <c r="E539" s="10" t="s">
        <v>1097</v>
      </c>
      <c r="F539" s="10" t="s">
        <v>1097</v>
      </c>
      <c r="G539" s="10" t="s">
        <v>38</v>
      </c>
      <c r="H539" s="10" t="s">
        <v>1076</v>
      </c>
      <c r="L539" s="10">
        <v>20</v>
      </c>
      <c r="M539" s="1"/>
      <c r="O539" s="56"/>
      <c r="P539" s="1">
        <v>20</v>
      </c>
      <c r="Q539" s="59"/>
      <c r="S539" s="10" t="s">
        <v>45</v>
      </c>
      <c r="U539" s="10">
        <v>2030</v>
      </c>
      <c r="V539" s="10">
        <v>1</v>
      </c>
      <c r="W539" s="10">
        <v>1</v>
      </c>
      <c r="X539" s="10" t="s">
        <v>32</v>
      </c>
      <c r="Y539" s="10" t="s">
        <v>32</v>
      </c>
      <c r="AB539" s="10">
        <v>0</v>
      </c>
      <c r="AF539" s="10" t="s">
        <v>760</v>
      </c>
      <c r="AJ539" s="10" t="s">
        <v>761</v>
      </c>
    </row>
    <row r="540" spans="1:38" s="10" customFormat="1" x14ac:dyDescent="0.35">
      <c r="A540" s="10" t="s">
        <v>758</v>
      </c>
      <c r="B540" s="10" t="s">
        <v>1030</v>
      </c>
      <c r="C540" s="10" t="s">
        <v>762</v>
      </c>
      <c r="D540" s="10">
        <v>50</v>
      </c>
      <c r="E540" s="10" t="s">
        <v>1096</v>
      </c>
      <c r="F540" s="10" t="s">
        <v>1153</v>
      </c>
      <c r="G540" s="10" t="s">
        <v>53</v>
      </c>
      <c r="H540" s="10" t="s">
        <v>1077</v>
      </c>
      <c r="L540" s="10">
        <v>50</v>
      </c>
      <c r="M540" s="1"/>
      <c r="N540" s="10">
        <v>15</v>
      </c>
      <c r="O540" s="56"/>
      <c r="P540" s="1">
        <v>35</v>
      </c>
      <c r="Q540" s="59"/>
      <c r="S540" s="10" t="s">
        <v>45</v>
      </c>
      <c r="U540" s="10">
        <v>2030</v>
      </c>
      <c r="V540" s="10">
        <v>1</v>
      </c>
      <c r="W540" s="10">
        <v>1</v>
      </c>
      <c r="X540" s="10" t="s">
        <v>32</v>
      </c>
      <c r="Y540" s="10" t="s">
        <v>32</v>
      </c>
      <c r="AB540" s="10">
        <v>0</v>
      </c>
      <c r="AF540" s="10" t="s">
        <v>763</v>
      </c>
    </row>
    <row r="541" spans="1:38" s="2" customFormat="1" ht="17" hidden="1" x14ac:dyDescent="0.35">
      <c r="A541" s="2" t="s">
        <v>758</v>
      </c>
      <c r="B541" s="2" t="s">
        <v>1031</v>
      </c>
      <c r="C541" s="30" t="s">
        <v>1056</v>
      </c>
      <c r="D541" s="26">
        <v>50</v>
      </c>
      <c r="E541" s="26"/>
      <c r="F541" s="26"/>
      <c r="G541" s="26"/>
      <c r="H541" s="10" t="s">
        <v>1077</v>
      </c>
      <c r="I541" s="14"/>
      <c r="J541" s="14"/>
      <c r="K541" s="18"/>
      <c r="L541" s="2">
        <v>50</v>
      </c>
      <c r="M541" s="10"/>
      <c r="N541" s="2">
        <v>17</v>
      </c>
      <c r="P541" s="2">
        <v>33</v>
      </c>
      <c r="Q541" s="10"/>
      <c r="S541" s="1" t="s">
        <v>30</v>
      </c>
      <c r="T541" s="1"/>
      <c r="U541" s="1">
        <v>2035</v>
      </c>
      <c r="V541" s="1">
        <v>1</v>
      </c>
      <c r="W541" s="1">
        <v>1</v>
      </c>
      <c r="X541" s="1" t="s">
        <v>32</v>
      </c>
      <c r="Y541" s="1" t="s">
        <v>32</v>
      </c>
      <c r="Z541" s="1"/>
      <c r="AB541" s="2">
        <v>0</v>
      </c>
    </row>
    <row r="542" spans="1:38" s="2" customFormat="1" hidden="1" x14ac:dyDescent="0.35">
      <c r="A542" s="2" t="s">
        <v>764</v>
      </c>
      <c r="B542" s="2" t="s">
        <v>1028</v>
      </c>
      <c r="C542" s="26" t="s">
        <v>732</v>
      </c>
      <c r="D542" s="26"/>
      <c r="E542" s="26"/>
      <c r="F542" s="26"/>
      <c r="G542" s="26"/>
      <c r="H542" s="10"/>
      <c r="I542" s="10"/>
      <c r="J542" s="10"/>
      <c r="K542" s="1"/>
      <c r="M542" s="10"/>
      <c r="Q542" s="10"/>
      <c r="S542" s="1"/>
      <c r="T542" s="1">
        <v>2005</v>
      </c>
      <c r="U542" s="1">
        <v>2025</v>
      </c>
      <c r="V542" s="1">
        <v>1</v>
      </c>
      <c r="W542" s="1">
        <v>0</v>
      </c>
      <c r="X542" s="1" t="s">
        <v>51</v>
      </c>
      <c r="Y542" s="1" t="s">
        <v>51</v>
      </c>
      <c r="Z542" s="1"/>
      <c r="AB542" s="2">
        <v>0</v>
      </c>
      <c r="AF542" s="2" t="s">
        <v>765</v>
      </c>
    </row>
    <row r="543" spans="1:38" s="10" customFormat="1" ht="17.5" x14ac:dyDescent="0.35">
      <c r="A543" s="10" t="s">
        <v>764</v>
      </c>
      <c r="B543" s="10" t="s">
        <v>1029</v>
      </c>
      <c r="C543" s="10" t="s">
        <v>143</v>
      </c>
      <c r="D543" s="10" t="s">
        <v>1163</v>
      </c>
      <c r="E543" s="10" t="s">
        <v>1097</v>
      </c>
      <c r="F543" s="10" t="s">
        <v>1097</v>
      </c>
      <c r="G543" s="12" t="s">
        <v>389</v>
      </c>
      <c r="J543" s="10">
        <v>1</v>
      </c>
      <c r="M543" s="1"/>
      <c r="O543" s="56"/>
      <c r="P543" s="1"/>
      <c r="Q543" s="59"/>
      <c r="T543" s="10">
        <v>2005</v>
      </c>
      <c r="U543" s="10">
        <v>2025</v>
      </c>
      <c r="V543" s="10">
        <v>1</v>
      </c>
      <c r="W543" s="10">
        <v>0</v>
      </c>
      <c r="X543" s="10" t="s">
        <v>51</v>
      </c>
      <c r="Y543" s="10" t="s">
        <v>51</v>
      </c>
      <c r="AB543" s="10">
        <v>0</v>
      </c>
      <c r="AF543" s="10" t="s">
        <v>765</v>
      </c>
    </row>
    <row r="544" spans="1:38" s="10" customFormat="1" x14ac:dyDescent="0.35">
      <c r="A544" s="10" t="s">
        <v>764</v>
      </c>
      <c r="B544" s="10" t="s">
        <v>1030</v>
      </c>
      <c r="J544" s="10">
        <v>1</v>
      </c>
      <c r="M544" s="1"/>
      <c r="O544" s="56"/>
      <c r="P544" s="1"/>
      <c r="Q544" s="59"/>
    </row>
    <row r="545" spans="1:36" s="2" customFormat="1" hidden="1" x14ac:dyDescent="0.35">
      <c r="A545" s="2" t="s">
        <v>764</v>
      </c>
      <c r="B545" s="2" t="s">
        <v>1031</v>
      </c>
      <c r="C545" s="26"/>
      <c r="D545" s="27">
        <v>44</v>
      </c>
      <c r="E545" s="27"/>
      <c r="F545" s="27"/>
      <c r="G545" s="26"/>
      <c r="H545" s="10" t="s">
        <v>1077</v>
      </c>
      <c r="I545" s="10"/>
      <c r="J545" s="10"/>
      <c r="K545" s="1"/>
      <c r="L545" s="7">
        <v>44</v>
      </c>
      <c r="M545" s="10"/>
      <c r="N545" s="2">
        <v>12</v>
      </c>
      <c r="P545" s="2">
        <v>32</v>
      </c>
      <c r="Q545" s="10"/>
      <c r="S545" s="1" t="s">
        <v>30</v>
      </c>
      <c r="T545" s="1"/>
      <c r="U545" s="1">
        <v>2035</v>
      </c>
      <c r="V545" s="1">
        <v>1</v>
      </c>
      <c r="W545" s="1">
        <v>1</v>
      </c>
      <c r="X545" s="1" t="s">
        <v>32</v>
      </c>
      <c r="Y545" s="1" t="s">
        <v>32</v>
      </c>
      <c r="Z545" s="1"/>
      <c r="AB545" s="2">
        <v>0</v>
      </c>
    </row>
    <row r="546" spans="1:36" s="2" customFormat="1" hidden="1" x14ac:dyDescent="0.35">
      <c r="A546" s="2" t="s">
        <v>766</v>
      </c>
      <c r="B546" s="2" t="s">
        <v>1028</v>
      </c>
      <c r="C546" s="26"/>
      <c r="D546" s="26"/>
      <c r="E546" s="26"/>
      <c r="F546" s="26"/>
      <c r="G546" s="26"/>
      <c r="H546" s="10"/>
      <c r="I546" s="10"/>
      <c r="J546" s="10"/>
      <c r="K546" s="1"/>
      <c r="M546" s="10"/>
      <c r="Q546" s="10"/>
      <c r="S546" s="1"/>
      <c r="T546" s="1"/>
      <c r="U546" s="1"/>
      <c r="V546" s="1"/>
      <c r="W546" s="1"/>
      <c r="X546" s="1"/>
      <c r="Y546" s="1"/>
      <c r="Z546" s="1"/>
    </row>
    <row r="547" spans="1:36" s="10" customFormat="1" x14ac:dyDescent="0.35">
      <c r="A547" s="10" t="s">
        <v>766</v>
      </c>
      <c r="B547" s="10" t="s">
        <v>1029</v>
      </c>
      <c r="C547" s="10" t="s">
        <v>767</v>
      </c>
      <c r="D547" s="10">
        <v>24.4</v>
      </c>
      <c r="E547" s="10" t="s">
        <v>1097</v>
      </c>
      <c r="F547" s="10" t="s">
        <v>1097</v>
      </c>
      <c r="G547" s="10" t="s">
        <v>1126</v>
      </c>
      <c r="H547" s="10" t="s">
        <v>1077</v>
      </c>
      <c r="L547" s="10">
        <v>24.4</v>
      </c>
      <c r="M547" s="1"/>
      <c r="N547" s="10">
        <v>12.8</v>
      </c>
      <c r="O547" s="56"/>
      <c r="P547" s="1">
        <v>11.599999999999998</v>
      </c>
      <c r="Q547" s="59"/>
      <c r="S547" s="10" t="s">
        <v>45</v>
      </c>
      <c r="U547" s="10">
        <v>2040</v>
      </c>
      <c r="V547" s="10">
        <v>1</v>
      </c>
      <c r="W547" s="10">
        <v>1</v>
      </c>
      <c r="X547" s="10" t="s">
        <v>32</v>
      </c>
      <c r="Y547" s="10" t="s">
        <v>32</v>
      </c>
      <c r="AB547" s="10">
        <v>0</v>
      </c>
      <c r="AF547" s="10" t="s">
        <v>768</v>
      </c>
      <c r="AJ547" s="10" t="s">
        <v>769</v>
      </c>
    </row>
    <row r="548" spans="1:36" s="10" customFormat="1" ht="17.5" x14ac:dyDescent="0.35">
      <c r="A548" s="10" t="s">
        <v>766</v>
      </c>
      <c r="B548" s="10" t="s">
        <v>1030</v>
      </c>
      <c r="C548" s="33">
        <v>44479</v>
      </c>
      <c r="D548" s="10">
        <v>26.6</v>
      </c>
      <c r="E548" s="10" t="s">
        <v>1097</v>
      </c>
      <c r="F548" s="10" t="s">
        <v>1097</v>
      </c>
      <c r="G548" s="12" t="s">
        <v>1125</v>
      </c>
      <c r="H548" s="10" t="s">
        <v>1077</v>
      </c>
      <c r="L548" s="10">
        <v>26.6</v>
      </c>
      <c r="M548" s="1"/>
      <c r="N548" s="10">
        <v>17.5</v>
      </c>
      <c r="O548" s="56"/>
      <c r="P548" s="1">
        <v>9.1000000000000014</v>
      </c>
      <c r="Q548" s="59"/>
      <c r="S548" s="10" t="s">
        <v>45</v>
      </c>
      <c r="U548" s="10">
        <v>2040</v>
      </c>
      <c r="V548" s="10">
        <v>1</v>
      </c>
      <c r="W548" s="10">
        <v>1</v>
      </c>
      <c r="X548" s="10" t="s">
        <v>32</v>
      </c>
      <c r="Y548" s="10" t="s">
        <v>32</v>
      </c>
      <c r="AB548" s="10">
        <v>0</v>
      </c>
      <c r="AF548" s="10" t="s">
        <v>770</v>
      </c>
      <c r="AI548" s="10" t="s">
        <v>771</v>
      </c>
      <c r="AJ548" s="10" t="s">
        <v>772</v>
      </c>
    </row>
    <row r="549" spans="1:36" s="2" customFormat="1" hidden="1" x14ac:dyDescent="0.35">
      <c r="A549" s="2" t="s">
        <v>766</v>
      </c>
      <c r="B549" s="2" t="s">
        <v>1031</v>
      </c>
      <c r="C549" s="26"/>
      <c r="D549" s="26"/>
      <c r="E549" s="26"/>
      <c r="F549" s="26"/>
      <c r="G549" s="26"/>
      <c r="H549" s="10"/>
      <c r="I549" s="10"/>
      <c r="J549" s="10"/>
      <c r="K549" s="1"/>
      <c r="M549" s="10"/>
      <c r="Q549" s="10"/>
      <c r="S549" s="1"/>
      <c r="T549" s="1"/>
      <c r="U549" s="1"/>
      <c r="V549" s="1"/>
      <c r="W549" s="1"/>
      <c r="X549" s="1"/>
      <c r="Y549" s="1"/>
      <c r="Z549" s="1"/>
    </row>
    <row r="550" spans="1:36" s="2" customFormat="1" hidden="1" x14ac:dyDescent="0.35">
      <c r="A550" s="2" t="s">
        <v>773</v>
      </c>
      <c r="B550" s="2" t="s">
        <v>1028</v>
      </c>
      <c r="C550" s="26" t="s">
        <v>774</v>
      </c>
      <c r="D550" s="26"/>
      <c r="E550" s="26"/>
      <c r="F550" s="26"/>
      <c r="G550" s="26"/>
      <c r="H550" s="10"/>
      <c r="I550" s="10"/>
      <c r="J550" s="10"/>
      <c r="K550" s="1"/>
      <c r="M550" s="10"/>
      <c r="Q550" s="10"/>
      <c r="S550" s="1"/>
      <c r="T550" s="1"/>
      <c r="U550" s="1">
        <v>2050</v>
      </c>
      <c r="V550" s="1">
        <v>1</v>
      </c>
      <c r="W550" s="1">
        <v>0</v>
      </c>
      <c r="X550" s="1"/>
      <c r="Y550" s="1"/>
      <c r="Z550" s="1"/>
      <c r="AB550" s="2">
        <v>0</v>
      </c>
      <c r="AF550" s="2" t="s">
        <v>775</v>
      </c>
    </row>
    <row r="551" spans="1:36" s="10" customFormat="1" x14ac:dyDescent="0.35">
      <c r="A551" s="10" t="s">
        <v>773</v>
      </c>
      <c r="B551" s="10" t="s">
        <v>1029</v>
      </c>
      <c r="C551" s="10" t="s">
        <v>776</v>
      </c>
      <c r="I551" s="22" t="s">
        <v>1085</v>
      </c>
      <c r="M551" s="1"/>
      <c r="O551" s="56"/>
      <c r="P551" s="1"/>
      <c r="Q551" s="59"/>
      <c r="V551" s="10">
        <v>1</v>
      </c>
      <c r="W551" s="10">
        <v>0</v>
      </c>
      <c r="AB551" s="10">
        <v>0</v>
      </c>
      <c r="AF551" s="10" t="s">
        <v>775</v>
      </c>
    </row>
    <row r="552" spans="1:36" s="10" customFormat="1" ht="17.5" x14ac:dyDescent="0.35">
      <c r="A552" s="10" t="s">
        <v>773</v>
      </c>
      <c r="B552" s="10" t="s">
        <v>1030</v>
      </c>
      <c r="C552" s="10" t="s">
        <v>557</v>
      </c>
      <c r="D552" s="10" t="s">
        <v>777</v>
      </c>
      <c r="E552" s="10" t="s">
        <v>1164</v>
      </c>
      <c r="F552" s="10" t="s">
        <v>1150</v>
      </c>
      <c r="G552" s="12" t="s">
        <v>1165</v>
      </c>
      <c r="H552" s="10" t="s">
        <v>1077</v>
      </c>
      <c r="J552" s="10">
        <v>1</v>
      </c>
      <c r="L552" s="10" t="s">
        <v>777</v>
      </c>
      <c r="M552" s="1"/>
      <c r="O552" s="56"/>
      <c r="P552" s="1"/>
      <c r="Q552" s="59"/>
      <c r="S552" s="10" t="s">
        <v>45</v>
      </c>
      <c r="U552" s="10">
        <v>2030</v>
      </c>
      <c r="V552" s="10">
        <v>1</v>
      </c>
      <c r="W552" s="10">
        <v>1</v>
      </c>
      <c r="AB552" s="10">
        <v>0</v>
      </c>
      <c r="AC552" s="10">
        <v>2050</v>
      </c>
      <c r="AD552" s="10">
        <v>24</v>
      </c>
      <c r="AF552" s="10" t="s">
        <v>778</v>
      </c>
    </row>
    <row r="553" spans="1:36" s="2" customFormat="1" hidden="1" x14ac:dyDescent="0.35">
      <c r="A553" s="2" t="s">
        <v>773</v>
      </c>
      <c r="B553" s="2" t="s">
        <v>1031</v>
      </c>
      <c r="C553" s="26" t="s">
        <v>779</v>
      </c>
      <c r="D553" s="26">
        <v>17</v>
      </c>
      <c r="E553" s="26"/>
      <c r="F553" s="26"/>
      <c r="G553" s="26"/>
      <c r="H553" s="10" t="s">
        <v>1077</v>
      </c>
      <c r="I553" s="10"/>
      <c r="J553" s="10"/>
      <c r="K553" s="1"/>
      <c r="L553" s="2">
        <v>17</v>
      </c>
      <c r="M553" s="10"/>
      <c r="N553" s="2">
        <v>11</v>
      </c>
      <c r="P553" s="2">
        <v>6</v>
      </c>
      <c r="Q553" s="10"/>
      <c r="S553" s="1" t="s">
        <v>45</v>
      </c>
      <c r="T553" s="1"/>
      <c r="U553" s="1">
        <v>2035</v>
      </c>
      <c r="V553" s="1">
        <v>1</v>
      </c>
      <c r="W553" s="1">
        <v>1</v>
      </c>
      <c r="X553" s="1"/>
      <c r="Y553" s="1"/>
      <c r="Z553" s="1"/>
      <c r="AB553" s="2">
        <v>0</v>
      </c>
      <c r="AC553" s="2">
        <v>2050</v>
      </c>
      <c r="AD553" s="2">
        <v>24</v>
      </c>
      <c r="AF553" s="2" t="s">
        <v>778</v>
      </c>
    </row>
    <row r="554" spans="1:36" s="2" customFormat="1" hidden="1" x14ac:dyDescent="0.35">
      <c r="A554" s="2" t="s">
        <v>780</v>
      </c>
      <c r="B554" s="2" t="s">
        <v>1028</v>
      </c>
      <c r="C554" s="26" t="s">
        <v>140</v>
      </c>
      <c r="D554" s="26"/>
      <c r="E554" s="26"/>
      <c r="F554" s="26"/>
      <c r="G554" s="26"/>
      <c r="H554" s="10"/>
      <c r="I554" s="10"/>
      <c r="J554" s="10"/>
      <c r="K554" s="1"/>
      <c r="M554" s="10"/>
      <c r="Q554" s="10"/>
      <c r="S554" s="1"/>
      <c r="T554" s="1"/>
      <c r="U554" s="1">
        <v>2030</v>
      </c>
      <c r="V554" s="1">
        <v>1</v>
      </c>
      <c r="W554" s="1">
        <v>1</v>
      </c>
      <c r="X554" s="1"/>
      <c r="Y554" s="1"/>
      <c r="Z554" s="1"/>
      <c r="AB554" s="2">
        <v>0</v>
      </c>
      <c r="AF554" s="2" t="s">
        <v>781</v>
      </c>
    </row>
    <row r="555" spans="1:36" s="46" customFormat="1" x14ac:dyDescent="0.35">
      <c r="A555" s="46" t="s">
        <v>780</v>
      </c>
      <c r="B555" s="46" t="s">
        <v>1029</v>
      </c>
      <c r="C555" s="46" t="s">
        <v>782</v>
      </c>
      <c r="I555" s="48" t="s">
        <v>1085</v>
      </c>
      <c r="M555" s="51"/>
      <c r="O555" s="57"/>
      <c r="P555" s="51"/>
      <c r="Q555" s="60"/>
      <c r="U555" s="46">
        <v>2030</v>
      </c>
      <c r="V555" s="46">
        <v>1</v>
      </c>
      <c r="W555" s="46">
        <v>1</v>
      </c>
      <c r="AB555" s="46">
        <v>0</v>
      </c>
      <c r="AF555" s="46" t="s">
        <v>781</v>
      </c>
    </row>
    <row r="556" spans="1:36" s="46" customFormat="1" x14ac:dyDescent="0.35">
      <c r="A556" s="46" t="s">
        <v>780</v>
      </c>
      <c r="B556" s="46" t="s">
        <v>1030</v>
      </c>
      <c r="C556" s="46" t="s">
        <v>783</v>
      </c>
      <c r="J556" s="46">
        <v>1</v>
      </c>
      <c r="M556" s="51"/>
      <c r="O556" s="57"/>
      <c r="P556" s="51"/>
      <c r="Q556" s="60"/>
      <c r="T556" s="46">
        <v>2015</v>
      </c>
      <c r="U556" s="46">
        <v>2030</v>
      </c>
      <c r="V556" s="46">
        <v>1</v>
      </c>
      <c r="W556" s="46">
        <v>1</v>
      </c>
      <c r="X556" s="46" t="s">
        <v>51</v>
      </c>
      <c r="Y556" s="46" t="s">
        <v>51</v>
      </c>
      <c r="AB556" s="46">
        <v>0</v>
      </c>
      <c r="AF556" s="46" t="s">
        <v>784</v>
      </c>
    </row>
    <row r="557" spans="1:36" s="2" customFormat="1" hidden="1" x14ac:dyDescent="0.35">
      <c r="A557" s="2" t="s">
        <v>780</v>
      </c>
      <c r="B557" s="2" t="s">
        <v>1031</v>
      </c>
      <c r="C557" s="26"/>
      <c r="D557" s="26"/>
      <c r="E557" s="26"/>
      <c r="F557" s="26"/>
      <c r="G557" s="26"/>
      <c r="H557" s="10"/>
      <c r="I557" s="10"/>
      <c r="J557" s="10"/>
      <c r="K557" s="1"/>
      <c r="M557" s="10"/>
      <c r="Q557" s="10"/>
      <c r="S557" s="1"/>
      <c r="T557" s="1"/>
      <c r="U557" s="1"/>
      <c r="V557" s="1"/>
      <c r="W557" s="1"/>
      <c r="X557" s="1"/>
      <c r="Y557" s="1"/>
      <c r="Z557" s="1"/>
    </row>
    <row r="558" spans="1:36" s="2" customFormat="1" hidden="1" x14ac:dyDescent="0.35">
      <c r="A558" s="2" t="s">
        <v>785</v>
      </c>
      <c r="B558" s="2" t="s">
        <v>1028</v>
      </c>
      <c r="C558" s="26" t="s">
        <v>156</v>
      </c>
      <c r="D558" s="26">
        <v>20</v>
      </c>
      <c r="E558" s="26"/>
      <c r="F558" s="26"/>
      <c r="G558" s="26"/>
      <c r="H558" s="10" t="s">
        <v>1077</v>
      </c>
      <c r="I558" s="10"/>
      <c r="J558" s="10"/>
      <c r="K558" s="1"/>
      <c r="L558" s="2">
        <v>20</v>
      </c>
      <c r="M558" s="10"/>
      <c r="N558" s="2">
        <v>10</v>
      </c>
      <c r="P558" s="2">
        <v>10</v>
      </c>
      <c r="Q558" s="10"/>
      <c r="S558" s="1" t="s">
        <v>45</v>
      </c>
      <c r="T558" s="1"/>
      <c r="U558" s="1">
        <v>2030</v>
      </c>
      <c r="V558" s="1">
        <v>1</v>
      </c>
      <c r="W558" s="1">
        <v>1</v>
      </c>
      <c r="X558" s="1" t="s">
        <v>32</v>
      </c>
      <c r="Y558" s="1" t="s">
        <v>32</v>
      </c>
      <c r="Z558" s="1"/>
      <c r="AB558" s="2">
        <v>0</v>
      </c>
      <c r="AF558" s="2" t="s">
        <v>786</v>
      </c>
    </row>
    <row r="559" spans="1:36" s="10" customFormat="1" ht="17.5" x14ac:dyDescent="0.35">
      <c r="A559" s="10" t="s">
        <v>785</v>
      </c>
      <c r="B559" s="10" t="s">
        <v>1029</v>
      </c>
      <c r="C559" s="10" t="s">
        <v>465</v>
      </c>
      <c r="D559" s="10">
        <v>20</v>
      </c>
      <c r="E559" s="10" t="s">
        <v>1096</v>
      </c>
      <c r="F559" s="10" t="s">
        <v>1153</v>
      </c>
      <c r="G559" s="12" t="s">
        <v>1166</v>
      </c>
      <c r="H559" s="10" t="s">
        <v>1077</v>
      </c>
      <c r="L559" s="10">
        <v>20</v>
      </c>
      <c r="M559" s="1"/>
      <c r="N559" s="10">
        <v>10</v>
      </c>
      <c r="O559" s="56"/>
      <c r="P559" s="1">
        <v>10</v>
      </c>
      <c r="Q559" s="59"/>
      <c r="S559" s="10" t="s">
        <v>45</v>
      </c>
      <c r="U559" s="10">
        <v>2030</v>
      </c>
      <c r="V559" s="10">
        <v>1</v>
      </c>
      <c r="W559" s="10">
        <v>1</v>
      </c>
      <c r="X559" s="10" t="s">
        <v>32</v>
      </c>
      <c r="Y559" s="10" t="s">
        <v>32</v>
      </c>
      <c r="AB559" s="10">
        <v>0</v>
      </c>
      <c r="AF559" s="10" t="s">
        <v>786</v>
      </c>
    </row>
    <row r="560" spans="1:36" s="10" customFormat="1" ht="17.5" x14ac:dyDescent="0.35">
      <c r="A560" s="10" t="s">
        <v>785</v>
      </c>
      <c r="B560" s="10" t="s">
        <v>1030</v>
      </c>
      <c r="C560" s="10" t="s">
        <v>787</v>
      </c>
      <c r="D560" s="10">
        <v>20</v>
      </c>
      <c r="E560" s="10" t="s">
        <v>1096</v>
      </c>
      <c r="F560" s="10" t="s">
        <v>1153</v>
      </c>
      <c r="G560" s="12" t="s">
        <v>1166</v>
      </c>
      <c r="H560" s="10" t="s">
        <v>1077</v>
      </c>
      <c r="L560" s="10">
        <v>20</v>
      </c>
      <c r="M560" s="1"/>
      <c r="N560" s="10">
        <v>10</v>
      </c>
      <c r="O560" s="56"/>
      <c r="P560" s="1">
        <v>10</v>
      </c>
      <c r="Q560" s="59"/>
      <c r="S560" s="10" t="s">
        <v>45</v>
      </c>
      <c r="U560" s="10">
        <v>2030</v>
      </c>
      <c r="V560" s="10">
        <v>1</v>
      </c>
      <c r="W560" s="10">
        <v>1</v>
      </c>
      <c r="X560" s="10" t="s">
        <v>32</v>
      </c>
      <c r="Y560" s="10" t="s">
        <v>32</v>
      </c>
      <c r="AB560" s="10">
        <v>0</v>
      </c>
      <c r="AF560" s="10" t="s">
        <v>786</v>
      </c>
    </row>
    <row r="561" spans="1:38" s="2" customFormat="1" ht="17" hidden="1" x14ac:dyDescent="0.35">
      <c r="A561" s="2" t="s">
        <v>785</v>
      </c>
      <c r="B561" s="2" t="s">
        <v>1031</v>
      </c>
      <c r="C561" s="30" t="s">
        <v>1061</v>
      </c>
      <c r="D561" s="26">
        <v>20</v>
      </c>
      <c r="E561" s="26"/>
      <c r="F561" s="26"/>
      <c r="G561" s="26"/>
      <c r="H561" s="10" t="s">
        <v>1077</v>
      </c>
      <c r="I561" s="14"/>
      <c r="J561" s="14"/>
      <c r="K561" s="18"/>
      <c r="L561" s="2">
        <v>20</v>
      </c>
      <c r="M561" s="10"/>
      <c r="N561" s="2">
        <v>10</v>
      </c>
      <c r="P561" s="2">
        <v>10</v>
      </c>
      <c r="Q561" s="10"/>
      <c r="S561" s="1" t="s">
        <v>30</v>
      </c>
      <c r="T561" s="1"/>
      <c r="U561" s="1">
        <v>2030</v>
      </c>
      <c r="V561" s="1">
        <v>1</v>
      </c>
      <c r="W561" s="1">
        <v>1</v>
      </c>
      <c r="X561" s="1"/>
      <c r="Y561" s="1"/>
      <c r="Z561" s="1"/>
      <c r="AB561" s="2">
        <v>0</v>
      </c>
    </row>
    <row r="562" spans="1:38" s="2" customFormat="1" hidden="1" x14ac:dyDescent="0.35">
      <c r="A562" s="2" t="s">
        <v>788</v>
      </c>
      <c r="B562" s="2" t="s">
        <v>1028</v>
      </c>
      <c r="C562" s="26" t="s">
        <v>199</v>
      </c>
      <c r="D562" s="26">
        <v>30</v>
      </c>
      <c r="E562" s="26"/>
      <c r="F562" s="26"/>
      <c r="G562" s="26"/>
      <c r="H562" s="10" t="s">
        <v>1077</v>
      </c>
      <c r="I562" s="10"/>
      <c r="J562" s="10"/>
      <c r="K562" s="1"/>
      <c r="L562" s="2">
        <v>30</v>
      </c>
      <c r="M562" s="10"/>
      <c r="N562" s="2">
        <v>20</v>
      </c>
      <c r="P562" s="2">
        <v>10</v>
      </c>
      <c r="Q562" s="10"/>
      <c r="S562" s="1" t="s">
        <v>45</v>
      </c>
      <c r="T562" s="1"/>
      <c r="U562" s="1">
        <v>2030</v>
      </c>
      <c r="V562" s="1">
        <v>1</v>
      </c>
      <c r="W562" s="1">
        <v>1</v>
      </c>
      <c r="X562" s="1" t="s">
        <v>32</v>
      </c>
      <c r="Y562" s="1" t="s">
        <v>32</v>
      </c>
      <c r="Z562" s="1"/>
      <c r="AB562" s="2">
        <v>0</v>
      </c>
      <c r="AF562" s="2" t="s">
        <v>789</v>
      </c>
    </row>
    <row r="563" spans="1:38" s="10" customFormat="1" x14ac:dyDescent="0.35">
      <c r="A563" s="10" t="s">
        <v>788</v>
      </c>
      <c r="B563" s="10" t="s">
        <v>1029</v>
      </c>
      <c r="C563" s="10" t="s">
        <v>790</v>
      </c>
      <c r="D563" s="10">
        <v>30</v>
      </c>
      <c r="E563" s="10" t="s">
        <v>1096</v>
      </c>
      <c r="F563" s="10" t="s">
        <v>1153</v>
      </c>
      <c r="G563" s="10" t="s">
        <v>53</v>
      </c>
      <c r="H563" s="10" t="s">
        <v>1077</v>
      </c>
      <c r="L563" s="10">
        <v>30</v>
      </c>
      <c r="M563" s="1"/>
      <c r="N563" s="10">
        <v>20</v>
      </c>
      <c r="O563" s="56"/>
      <c r="P563" s="1">
        <v>10</v>
      </c>
      <c r="Q563" s="59"/>
      <c r="S563" s="10" t="s">
        <v>45</v>
      </c>
      <c r="U563" s="10">
        <v>2030</v>
      </c>
      <c r="V563" s="10">
        <v>1</v>
      </c>
      <c r="W563" s="10">
        <v>1</v>
      </c>
      <c r="X563" s="10" t="s">
        <v>32</v>
      </c>
      <c r="Y563" s="10" t="s">
        <v>32</v>
      </c>
      <c r="AB563" s="10">
        <v>0</v>
      </c>
      <c r="AF563" s="10" t="s">
        <v>789</v>
      </c>
    </row>
    <row r="564" spans="1:38" s="10" customFormat="1" x14ac:dyDescent="0.35">
      <c r="A564" s="10" t="s">
        <v>788</v>
      </c>
      <c r="B564" s="10" t="s">
        <v>1030</v>
      </c>
      <c r="C564" s="10" t="s">
        <v>791</v>
      </c>
      <c r="E564" s="10" t="s">
        <v>1096</v>
      </c>
      <c r="F564" s="10" t="s">
        <v>1153</v>
      </c>
      <c r="G564" s="10" t="s">
        <v>53</v>
      </c>
      <c r="H564" s="10" t="s">
        <v>1077</v>
      </c>
      <c r="M564" s="1">
        <v>208800</v>
      </c>
      <c r="O564" s="56">
        <v>179000</v>
      </c>
      <c r="P564" s="1"/>
      <c r="Q564" s="59"/>
      <c r="S564" s="10" t="s">
        <v>45</v>
      </c>
      <c r="U564" s="10">
        <v>2030</v>
      </c>
      <c r="V564" s="10">
        <v>1</v>
      </c>
      <c r="W564" s="10">
        <v>1</v>
      </c>
      <c r="X564" s="10" t="s">
        <v>78</v>
      </c>
      <c r="Y564" s="10" t="s">
        <v>78</v>
      </c>
      <c r="Z564" s="10" t="s">
        <v>1073</v>
      </c>
      <c r="AB564" s="10">
        <v>0</v>
      </c>
      <c r="AF564" s="10" t="s">
        <v>792</v>
      </c>
    </row>
    <row r="565" spans="1:38" s="2" customFormat="1" ht="17" hidden="1" x14ac:dyDescent="0.35">
      <c r="A565" s="2" t="s">
        <v>788</v>
      </c>
      <c r="B565" s="2" t="s">
        <v>1031</v>
      </c>
      <c r="C565" s="31">
        <v>45819</v>
      </c>
      <c r="D565" s="26"/>
      <c r="E565" s="26"/>
      <c r="F565" s="26"/>
      <c r="G565" s="26"/>
      <c r="H565" s="10"/>
      <c r="I565" s="23"/>
      <c r="J565" s="23"/>
      <c r="K565" s="19"/>
      <c r="M565" s="10">
        <v>179000</v>
      </c>
      <c r="Q565" s="10"/>
      <c r="S565" s="1" t="s">
        <v>30</v>
      </c>
      <c r="T565" s="1"/>
      <c r="U565" s="1">
        <v>2030</v>
      </c>
      <c r="V565" s="1">
        <v>1</v>
      </c>
      <c r="W565" s="1">
        <v>1</v>
      </c>
      <c r="X565" s="1" t="s">
        <v>78</v>
      </c>
      <c r="Y565" s="1" t="s">
        <v>78</v>
      </c>
      <c r="Z565" s="1" t="s">
        <v>1073</v>
      </c>
      <c r="AB565" s="2">
        <v>0</v>
      </c>
    </row>
    <row r="566" spans="1:38" s="2" customFormat="1" hidden="1" x14ac:dyDescent="0.35">
      <c r="A566" s="2" t="s">
        <v>793</v>
      </c>
      <c r="B566" s="2" t="s">
        <v>1028</v>
      </c>
      <c r="C566" s="26">
        <v>42014</v>
      </c>
      <c r="D566" s="26">
        <v>70</v>
      </c>
      <c r="E566" s="26"/>
      <c r="F566" s="26"/>
      <c r="G566" s="26"/>
      <c r="H566" s="2" t="s">
        <v>1076</v>
      </c>
      <c r="I566" s="10"/>
      <c r="J566" s="10"/>
      <c r="K566" s="1"/>
      <c r="L566" s="2">
        <v>70</v>
      </c>
      <c r="M566" s="10"/>
      <c r="P566" s="2">
        <v>70</v>
      </c>
      <c r="Q566" s="10"/>
      <c r="S566" s="1" t="s">
        <v>45</v>
      </c>
      <c r="T566" s="1"/>
      <c r="U566" s="1">
        <v>2030</v>
      </c>
      <c r="V566" s="1">
        <v>1</v>
      </c>
      <c r="W566" s="1">
        <v>1</v>
      </c>
      <c r="X566" s="1" t="s">
        <v>32</v>
      </c>
      <c r="Y566" s="1" t="s">
        <v>32</v>
      </c>
      <c r="Z566" s="1"/>
      <c r="AB566" s="2">
        <v>0</v>
      </c>
      <c r="AF566" s="2" t="s">
        <v>794</v>
      </c>
    </row>
    <row r="567" spans="1:38" s="10" customFormat="1" ht="17.5" x14ac:dyDescent="0.35">
      <c r="A567" s="10" t="s">
        <v>793</v>
      </c>
      <c r="B567" s="10" t="s">
        <v>1029</v>
      </c>
      <c r="C567" s="10" t="s">
        <v>795</v>
      </c>
      <c r="D567" s="10">
        <v>75</v>
      </c>
      <c r="E567" s="10" t="s">
        <v>1120</v>
      </c>
      <c r="F567" s="10" t="s">
        <v>1153</v>
      </c>
      <c r="G567" s="12" t="s">
        <v>129</v>
      </c>
      <c r="H567" s="10" t="s">
        <v>1077</v>
      </c>
      <c r="L567" s="10">
        <v>75</v>
      </c>
      <c r="M567" s="1"/>
      <c r="N567" s="10">
        <v>2.71</v>
      </c>
      <c r="O567" s="56"/>
      <c r="P567" s="1">
        <v>72.290000000000006</v>
      </c>
      <c r="Q567" s="59"/>
      <c r="S567" s="10" t="s">
        <v>45</v>
      </c>
      <c r="U567" s="10">
        <v>2030</v>
      </c>
      <c r="V567" s="10">
        <v>1</v>
      </c>
      <c r="W567" s="10">
        <v>1</v>
      </c>
      <c r="X567" s="10" t="s">
        <v>32</v>
      </c>
      <c r="Y567" s="10" t="s">
        <v>32</v>
      </c>
      <c r="AB567" s="10">
        <v>0</v>
      </c>
      <c r="AF567" s="10" t="s">
        <v>796</v>
      </c>
    </row>
    <row r="568" spans="1:38" s="10" customFormat="1" x14ac:dyDescent="0.35">
      <c r="A568" s="10" t="s">
        <v>793</v>
      </c>
      <c r="B568" s="10" t="s">
        <v>1030</v>
      </c>
      <c r="I568" s="10" t="s">
        <v>1082</v>
      </c>
      <c r="M568" s="1"/>
      <c r="O568" s="56"/>
      <c r="P568" s="1"/>
      <c r="Q568" s="59"/>
    </row>
    <row r="569" spans="1:38" s="2" customFormat="1" hidden="1" x14ac:dyDescent="0.35">
      <c r="A569" s="2" t="s">
        <v>793</v>
      </c>
      <c r="B569" s="2" t="s">
        <v>1031</v>
      </c>
      <c r="C569" s="26"/>
      <c r="D569" s="26"/>
      <c r="E569" s="26"/>
      <c r="F569" s="26"/>
      <c r="G569" s="26"/>
      <c r="H569" s="10"/>
      <c r="I569" s="10"/>
      <c r="J569" s="10"/>
      <c r="K569" s="1"/>
      <c r="M569" s="10"/>
      <c r="Q569" s="10"/>
      <c r="S569" s="1"/>
      <c r="T569" s="1"/>
      <c r="U569" s="1"/>
      <c r="V569" s="1"/>
      <c r="W569" s="1"/>
      <c r="X569" s="1"/>
      <c r="Y569" s="1"/>
      <c r="Z569" s="1"/>
    </row>
    <row r="570" spans="1:38" s="2" customFormat="1" hidden="1" x14ac:dyDescent="0.35">
      <c r="A570" s="2" t="s">
        <v>797</v>
      </c>
      <c r="B570" s="2" t="s">
        <v>1028</v>
      </c>
      <c r="C570" s="26"/>
      <c r="D570" s="26"/>
      <c r="E570" s="26"/>
      <c r="F570" s="26"/>
      <c r="G570" s="26"/>
      <c r="H570" s="10"/>
      <c r="I570" s="10"/>
      <c r="J570" s="10"/>
      <c r="K570" s="1"/>
      <c r="M570" s="10"/>
      <c r="Q570" s="10"/>
      <c r="S570" s="1"/>
      <c r="T570" s="1"/>
      <c r="U570" s="1"/>
      <c r="V570" s="1"/>
      <c r="W570" s="1"/>
      <c r="X570" s="1"/>
      <c r="Y570" s="1"/>
      <c r="Z570" s="1"/>
    </row>
    <row r="571" spans="1:38" s="10" customFormat="1" ht="17" x14ac:dyDescent="0.35">
      <c r="A571" s="10" t="s">
        <v>797</v>
      </c>
      <c r="B571" s="10" t="s">
        <v>1029</v>
      </c>
      <c r="C571" s="33">
        <v>42561</v>
      </c>
      <c r="D571" s="10">
        <v>40</v>
      </c>
      <c r="E571" s="10" t="s">
        <v>1140</v>
      </c>
      <c r="F571" s="10" t="s">
        <v>1140</v>
      </c>
      <c r="G571" s="10" t="s">
        <v>53</v>
      </c>
      <c r="H571" s="10" t="s">
        <v>1078</v>
      </c>
      <c r="L571" s="10">
        <v>40</v>
      </c>
      <c r="M571" s="1"/>
      <c r="N571" s="10">
        <v>40</v>
      </c>
      <c r="O571" s="56"/>
      <c r="P571" s="1"/>
      <c r="Q571" s="59"/>
      <c r="T571" s="10">
        <v>1990</v>
      </c>
      <c r="U571" s="10">
        <v>2030</v>
      </c>
      <c r="V571" s="10">
        <v>0</v>
      </c>
      <c r="W571" s="10">
        <v>0</v>
      </c>
      <c r="X571" s="10" t="s">
        <v>51</v>
      </c>
      <c r="Y571" s="10" t="s">
        <v>51</v>
      </c>
      <c r="AB571" s="10">
        <v>1</v>
      </c>
      <c r="AC571" s="10">
        <v>2050</v>
      </c>
      <c r="AF571" s="10" t="s">
        <v>215</v>
      </c>
      <c r="AL571" s="10" t="s">
        <v>101</v>
      </c>
    </row>
    <row r="572" spans="1:38" s="10" customFormat="1" x14ac:dyDescent="0.35">
      <c r="A572" s="10" t="s">
        <v>797</v>
      </c>
      <c r="B572" s="10" t="s">
        <v>1030</v>
      </c>
      <c r="C572" s="10" t="s">
        <v>102</v>
      </c>
      <c r="D572" s="10" t="s">
        <v>342</v>
      </c>
      <c r="E572" s="10" t="s">
        <v>1140</v>
      </c>
      <c r="F572" s="10" t="s">
        <v>1140</v>
      </c>
      <c r="G572" s="10" t="s">
        <v>53</v>
      </c>
      <c r="H572" s="10" t="s">
        <v>1078</v>
      </c>
      <c r="L572" s="10" t="s">
        <v>342</v>
      </c>
      <c r="M572" s="1"/>
      <c r="N572" s="10" t="s">
        <v>342</v>
      </c>
      <c r="O572" s="56"/>
      <c r="P572" s="1"/>
      <c r="Q572" s="59"/>
      <c r="T572" s="10">
        <v>1990</v>
      </c>
      <c r="U572" s="10">
        <v>2030</v>
      </c>
      <c r="V572" s="10">
        <v>0</v>
      </c>
      <c r="W572" s="10">
        <v>0</v>
      </c>
      <c r="X572" s="10" t="s">
        <v>51</v>
      </c>
      <c r="Y572" s="10" t="s">
        <v>51</v>
      </c>
      <c r="AB572" s="10">
        <v>1</v>
      </c>
      <c r="AC572" s="10">
        <v>2050</v>
      </c>
      <c r="AF572" s="10" t="s">
        <v>215</v>
      </c>
      <c r="AL572" s="10" t="s">
        <v>343</v>
      </c>
    </row>
    <row r="573" spans="1:38" s="2" customFormat="1" hidden="1" x14ac:dyDescent="0.35">
      <c r="A573" s="2" t="s">
        <v>797</v>
      </c>
      <c r="B573" s="2" t="s">
        <v>1031</v>
      </c>
      <c r="C573" s="26"/>
      <c r="D573" s="26"/>
      <c r="E573" s="26"/>
      <c r="F573" s="26"/>
      <c r="G573" s="26"/>
      <c r="H573" s="10"/>
      <c r="I573" s="10"/>
      <c r="J573" s="10"/>
      <c r="K573" s="1"/>
      <c r="M573" s="10"/>
      <c r="Q573" s="10"/>
      <c r="S573" s="1"/>
      <c r="T573" s="1"/>
      <c r="U573" s="1"/>
      <c r="V573" s="1"/>
      <c r="W573" s="1"/>
      <c r="X573" s="1"/>
      <c r="Y573" s="1"/>
      <c r="Z573" s="1"/>
    </row>
    <row r="574" spans="1:38" s="2" customFormat="1" hidden="1" x14ac:dyDescent="0.35">
      <c r="A574" s="2" t="s">
        <v>798</v>
      </c>
      <c r="B574" s="2" t="s">
        <v>1028</v>
      </c>
      <c r="C574" s="26"/>
      <c r="D574" s="26"/>
      <c r="E574" s="26"/>
      <c r="F574" s="26"/>
      <c r="G574" s="26"/>
      <c r="H574" s="10"/>
      <c r="I574" s="10"/>
      <c r="J574" s="10"/>
      <c r="K574" s="1"/>
      <c r="M574" s="10"/>
      <c r="Q574" s="10"/>
      <c r="S574" s="1"/>
      <c r="T574" s="1"/>
      <c r="U574" s="1"/>
      <c r="V574" s="1"/>
      <c r="W574" s="1"/>
      <c r="X574" s="1"/>
      <c r="Y574" s="1"/>
      <c r="Z574" s="1"/>
    </row>
    <row r="575" spans="1:38" s="10" customFormat="1" ht="17" x14ac:dyDescent="0.35">
      <c r="A575" s="10" t="s">
        <v>798</v>
      </c>
      <c r="B575" s="10" t="s">
        <v>1029</v>
      </c>
      <c r="C575" s="33">
        <v>42500</v>
      </c>
      <c r="D575" s="10">
        <v>40</v>
      </c>
      <c r="E575" s="10" t="s">
        <v>1140</v>
      </c>
      <c r="F575" s="10" t="s">
        <v>1140</v>
      </c>
      <c r="G575" s="10" t="s">
        <v>53</v>
      </c>
      <c r="H575" s="10" t="s">
        <v>1078</v>
      </c>
      <c r="L575" s="10">
        <v>40</v>
      </c>
      <c r="M575" s="1"/>
      <c r="N575" s="10">
        <v>40</v>
      </c>
      <c r="O575" s="56"/>
      <c r="P575" s="1"/>
      <c r="Q575" s="59"/>
      <c r="T575" s="10">
        <v>1990</v>
      </c>
      <c r="U575" s="10">
        <v>2030</v>
      </c>
      <c r="V575" s="10">
        <v>0</v>
      </c>
      <c r="W575" s="10">
        <v>0</v>
      </c>
      <c r="X575" s="10" t="s">
        <v>51</v>
      </c>
      <c r="Y575" s="10" t="s">
        <v>51</v>
      </c>
      <c r="AB575" s="10">
        <v>1</v>
      </c>
      <c r="AC575" s="10">
        <v>2050</v>
      </c>
      <c r="AF575" s="10" t="s">
        <v>215</v>
      </c>
      <c r="AL575" s="10" t="s">
        <v>101</v>
      </c>
    </row>
    <row r="576" spans="1:38" s="10" customFormat="1" x14ac:dyDescent="0.35">
      <c r="A576" s="10" t="s">
        <v>798</v>
      </c>
      <c r="B576" s="10" t="s">
        <v>1030</v>
      </c>
      <c r="C576" s="10" t="s">
        <v>102</v>
      </c>
      <c r="D576" s="10" t="s">
        <v>342</v>
      </c>
      <c r="E576" s="10" t="s">
        <v>1140</v>
      </c>
      <c r="F576" s="10" t="s">
        <v>1140</v>
      </c>
      <c r="G576" s="10" t="s">
        <v>53</v>
      </c>
      <c r="H576" s="10" t="s">
        <v>1078</v>
      </c>
      <c r="L576" s="10" t="s">
        <v>342</v>
      </c>
      <c r="M576" s="1"/>
      <c r="N576" s="10" t="s">
        <v>342</v>
      </c>
      <c r="O576" s="56"/>
      <c r="P576" s="1"/>
      <c r="Q576" s="59"/>
      <c r="T576" s="10">
        <v>1990</v>
      </c>
      <c r="U576" s="10">
        <v>2030</v>
      </c>
      <c r="V576" s="10">
        <v>0</v>
      </c>
      <c r="W576" s="10">
        <v>0</v>
      </c>
      <c r="X576" s="10" t="s">
        <v>51</v>
      </c>
      <c r="Y576" s="10" t="s">
        <v>51</v>
      </c>
      <c r="AB576" s="10">
        <v>1</v>
      </c>
      <c r="AC576" s="10">
        <v>2050</v>
      </c>
      <c r="AF576" s="10" t="s">
        <v>215</v>
      </c>
      <c r="AL576" s="10" t="s">
        <v>343</v>
      </c>
    </row>
    <row r="577" spans="1:38" s="2" customFormat="1" hidden="1" x14ac:dyDescent="0.35">
      <c r="A577" s="2" t="s">
        <v>798</v>
      </c>
      <c r="B577" s="2" t="s">
        <v>1031</v>
      </c>
      <c r="C577" s="26"/>
      <c r="D577" s="26"/>
      <c r="E577" s="26"/>
      <c r="F577" s="26"/>
      <c r="G577" s="26"/>
      <c r="H577" s="10"/>
      <c r="I577" s="10"/>
      <c r="J577" s="10"/>
      <c r="K577" s="1"/>
      <c r="M577" s="10"/>
      <c r="Q577" s="10"/>
      <c r="S577" s="1"/>
      <c r="T577" s="1"/>
      <c r="U577" s="1"/>
      <c r="V577" s="1"/>
      <c r="W577" s="1"/>
      <c r="X577" s="1"/>
      <c r="Y577" s="1"/>
      <c r="Z577" s="1"/>
    </row>
    <row r="578" spans="1:38" s="2" customFormat="1" hidden="1" x14ac:dyDescent="0.35">
      <c r="A578" s="2" t="s">
        <v>799</v>
      </c>
      <c r="B578" s="2" t="s">
        <v>1028</v>
      </c>
      <c r="C578" s="26" t="s">
        <v>800</v>
      </c>
      <c r="D578" s="26"/>
      <c r="E578" s="26"/>
      <c r="F578" s="26"/>
      <c r="G578" s="26" t="s">
        <v>53</v>
      </c>
      <c r="H578" s="10"/>
      <c r="I578" s="10"/>
      <c r="J578" s="10"/>
      <c r="K578" s="1"/>
      <c r="M578" s="10"/>
      <c r="Q578" s="10"/>
      <c r="S578" s="1"/>
      <c r="T578" s="1"/>
      <c r="U578" s="1"/>
      <c r="V578" s="1">
        <v>1</v>
      </c>
      <c r="W578" s="1">
        <v>1</v>
      </c>
      <c r="X578" s="1"/>
      <c r="Y578" s="1"/>
      <c r="Z578" s="1"/>
      <c r="AB578" s="2">
        <v>0</v>
      </c>
      <c r="AF578" s="2" t="s">
        <v>801</v>
      </c>
    </row>
    <row r="579" spans="1:38" s="10" customFormat="1" x14ac:dyDescent="0.35">
      <c r="A579" s="10" t="s">
        <v>799</v>
      </c>
      <c r="B579" s="10" t="s">
        <v>1029</v>
      </c>
      <c r="C579" s="10" t="s">
        <v>802</v>
      </c>
      <c r="G579" s="10" t="s">
        <v>53</v>
      </c>
      <c r="I579" s="22" t="s">
        <v>1085</v>
      </c>
      <c r="M579" s="1"/>
      <c r="O579" s="56"/>
      <c r="P579" s="1"/>
      <c r="Q579" s="59"/>
      <c r="V579" s="10">
        <v>1</v>
      </c>
      <c r="W579" s="10">
        <v>1</v>
      </c>
      <c r="AB579" s="10">
        <v>0</v>
      </c>
      <c r="AF579" s="10" t="s">
        <v>801</v>
      </c>
    </row>
    <row r="580" spans="1:38" s="10" customFormat="1" x14ac:dyDescent="0.35">
      <c r="A580" s="10" t="s">
        <v>799</v>
      </c>
      <c r="B580" s="10" t="s">
        <v>1030</v>
      </c>
      <c r="C580" s="10" t="s">
        <v>803</v>
      </c>
      <c r="D580" s="10">
        <v>25</v>
      </c>
      <c r="E580" s="10" t="s">
        <v>1120</v>
      </c>
      <c r="F580" s="10" t="s">
        <v>1097</v>
      </c>
      <c r="G580" s="10" t="s">
        <v>53</v>
      </c>
      <c r="H580" s="10" t="s">
        <v>1076</v>
      </c>
      <c r="L580" s="10">
        <v>25</v>
      </c>
      <c r="M580" s="1"/>
      <c r="O580" s="56"/>
      <c r="P580" s="1">
        <v>25</v>
      </c>
      <c r="Q580" s="59"/>
      <c r="S580" s="10" t="s">
        <v>45</v>
      </c>
      <c r="U580" s="10">
        <v>2030</v>
      </c>
      <c r="V580" s="10">
        <v>1</v>
      </c>
      <c r="W580" s="10">
        <v>1</v>
      </c>
      <c r="X580" s="10" t="s">
        <v>32</v>
      </c>
      <c r="Y580" s="10" t="s">
        <v>32</v>
      </c>
      <c r="AB580" s="10">
        <v>0</v>
      </c>
      <c r="AF580" s="10" t="s">
        <v>804</v>
      </c>
    </row>
    <row r="581" spans="1:38" s="2" customFormat="1" hidden="1" x14ac:dyDescent="0.35">
      <c r="A581" s="2" t="s">
        <v>799</v>
      </c>
      <c r="B581" s="2" t="s">
        <v>1031</v>
      </c>
      <c r="C581" s="26"/>
      <c r="D581" s="26"/>
      <c r="E581" s="26"/>
      <c r="F581" s="26"/>
      <c r="G581" s="26"/>
      <c r="H581" s="10"/>
      <c r="I581" s="10"/>
      <c r="J581" s="10"/>
      <c r="K581" s="1"/>
      <c r="M581" s="10"/>
      <c r="Q581" s="10"/>
      <c r="S581" s="1"/>
      <c r="T581" s="1"/>
      <c r="U581" s="1"/>
      <c r="V581" s="1"/>
      <c r="W581" s="1"/>
      <c r="X581" s="1"/>
      <c r="Y581" s="1"/>
      <c r="Z581" s="1"/>
    </row>
    <row r="582" spans="1:38" s="2" customFormat="1" hidden="1" x14ac:dyDescent="0.35">
      <c r="A582" s="2" t="s">
        <v>805</v>
      </c>
      <c r="B582" s="2" t="s">
        <v>1028</v>
      </c>
      <c r="C582" s="26">
        <v>42008</v>
      </c>
      <c r="D582" s="26">
        <v>72.5</v>
      </c>
      <c r="E582" s="26"/>
      <c r="F582" s="26"/>
      <c r="G582" s="26" t="s">
        <v>753</v>
      </c>
      <c r="H582" s="2" t="s">
        <v>1078</v>
      </c>
      <c r="I582" s="10"/>
      <c r="J582" s="10"/>
      <c r="K582" s="1"/>
      <c r="L582" s="2">
        <v>72.5</v>
      </c>
      <c r="M582" s="10"/>
      <c r="N582" s="2">
        <v>72.5</v>
      </c>
      <c r="Q582" s="10"/>
      <c r="S582" s="1"/>
      <c r="T582" s="1">
        <v>1990</v>
      </c>
      <c r="U582" s="1">
        <v>2030</v>
      </c>
      <c r="V582" s="1">
        <v>0</v>
      </c>
      <c r="W582" s="1">
        <v>0</v>
      </c>
      <c r="X582" s="1" t="s">
        <v>51</v>
      </c>
      <c r="Y582" s="1" t="s">
        <v>51</v>
      </c>
      <c r="Z582" s="1"/>
      <c r="AB582" s="2">
        <v>0</v>
      </c>
      <c r="AF582" s="2" t="s">
        <v>806</v>
      </c>
    </row>
    <row r="583" spans="1:38" s="10" customFormat="1" x14ac:dyDescent="0.35">
      <c r="A583" s="10" t="s">
        <v>805</v>
      </c>
      <c r="B583" s="10" t="s">
        <v>1029</v>
      </c>
      <c r="C583" s="10" t="s">
        <v>807</v>
      </c>
      <c r="D583" s="10">
        <v>30</v>
      </c>
      <c r="E583" s="10" t="s">
        <v>1140</v>
      </c>
      <c r="F583" s="10" t="s">
        <v>1140</v>
      </c>
      <c r="G583" s="10" t="s">
        <v>53</v>
      </c>
      <c r="H583" s="10" t="s">
        <v>1078</v>
      </c>
      <c r="L583" s="10">
        <v>30</v>
      </c>
      <c r="M583" s="1"/>
      <c r="N583" s="10">
        <v>30</v>
      </c>
      <c r="O583" s="56"/>
      <c r="P583" s="1"/>
      <c r="Q583" s="59"/>
      <c r="T583" s="10">
        <v>1990</v>
      </c>
      <c r="U583" s="10">
        <v>2030</v>
      </c>
      <c r="V583" s="10">
        <v>0</v>
      </c>
      <c r="W583" s="10">
        <v>0</v>
      </c>
      <c r="X583" s="10" t="s">
        <v>51</v>
      </c>
      <c r="Y583" s="10" t="s">
        <v>51</v>
      </c>
      <c r="AB583" s="10">
        <v>0</v>
      </c>
      <c r="AF583" s="10" t="s">
        <v>808</v>
      </c>
    </row>
    <row r="584" spans="1:38" s="10" customFormat="1" x14ac:dyDescent="0.35">
      <c r="A584" s="10" t="s">
        <v>805</v>
      </c>
      <c r="B584" s="10" t="s">
        <v>1030</v>
      </c>
      <c r="I584" s="10" t="s">
        <v>1082</v>
      </c>
      <c r="M584" s="1"/>
      <c r="O584" s="56"/>
      <c r="P584" s="1"/>
      <c r="Q584" s="59"/>
    </row>
    <row r="585" spans="1:38" s="2" customFormat="1" ht="17" hidden="1" x14ac:dyDescent="0.35">
      <c r="A585" s="2" t="s">
        <v>805</v>
      </c>
      <c r="B585" s="2" t="s">
        <v>1031</v>
      </c>
      <c r="C585" s="30" t="s">
        <v>1035</v>
      </c>
      <c r="D585" s="26">
        <v>66</v>
      </c>
      <c r="E585" s="26"/>
      <c r="F585" s="26"/>
      <c r="G585" s="26"/>
      <c r="H585" s="2" t="s">
        <v>1078</v>
      </c>
      <c r="I585" s="14"/>
      <c r="J585" s="14"/>
      <c r="K585" s="18"/>
      <c r="L585" s="2">
        <v>66</v>
      </c>
      <c r="M585" s="10"/>
      <c r="N585" s="2">
        <v>66</v>
      </c>
      <c r="Q585" s="10"/>
      <c r="S585" s="1" t="s">
        <v>30</v>
      </c>
      <c r="T585" s="1">
        <v>1990</v>
      </c>
      <c r="U585" s="1">
        <v>2030</v>
      </c>
      <c r="V585" s="1">
        <v>1</v>
      </c>
      <c r="W585" s="1">
        <v>0</v>
      </c>
      <c r="X585" s="1" t="s">
        <v>51</v>
      </c>
      <c r="Y585" s="1" t="s">
        <v>51</v>
      </c>
      <c r="Z585" s="1"/>
      <c r="AB585" s="2">
        <v>0</v>
      </c>
    </row>
    <row r="586" spans="1:38" s="2" customFormat="1" hidden="1" x14ac:dyDescent="0.35">
      <c r="A586" s="2" t="s">
        <v>809</v>
      </c>
      <c r="B586" s="2" t="s">
        <v>1028</v>
      </c>
      <c r="C586" s="26"/>
      <c r="D586" s="26"/>
      <c r="E586" s="26"/>
      <c r="F586" s="26"/>
      <c r="G586" s="26"/>
      <c r="H586" s="10"/>
      <c r="I586" s="10"/>
      <c r="J586" s="10"/>
      <c r="K586" s="1"/>
      <c r="M586" s="10"/>
      <c r="Q586" s="10"/>
      <c r="S586" s="1"/>
      <c r="T586" s="1"/>
      <c r="U586" s="1"/>
      <c r="V586" s="1"/>
      <c r="W586" s="1"/>
      <c r="X586" s="1"/>
      <c r="Y586" s="1"/>
      <c r="Z586" s="1"/>
    </row>
    <row r="587" spans="1:38" s="10" customFormat="1" ht="17" x14ac:dyDescent="0.35">
      <c r="A587" s="10" t="s">
        <v>809</v>
      </c>
      <c r="B587" s="10" t="s">
        <v>1029</v>
      </c>
      <c r="C587" s="33">
        <v>42741</v>
      </c>
      <c r="D587" s="10">
        <v>40</v>
      </c>
      <c r="E587" s="10" t="s">
        <v>1140</v>
      </c>
      <c r="F587" s="10" t="s">
        <v>1140</v>
      </c>
      <c r="G587" s="10" t="s">
        <v>53</v>
      </c>
      <c r="H587" s="10" t="s">
        <v>1078</v>
      </c>
      <c r="L587" s="10">
        <v>40</v>
      </c>
      <c r="M587" s="1"/>
      <c r="N587" s="10">
        <v>40</v>
      </c>
      <c r="O587" s="56"/>
      <c r="P587" s="1"/>
      <c r="Q587" s="59"/>
      <c r="T587" s="10">
        <v>1990</v>
      </c>
      <c r="U587" s="10">
        <v>2030</v>
      </c>
      <c r="V587" s="10">
        <v>0</v>
      </c>
      <c r="W587" s="10">
        <v>0</v>
      </c>
      <c r="X587" s="10" t="s">
        <v>51</v>
      </c>
      <c r="Y587" s="10" t="s">
        <v>51</v>
      </c>
      <c r="AB587" s="10">
        <v>1</v>
      </c>
      <c r="AC587" s="10">
        <v>2050</v>
      </c>
      <c r="AF587" s="10" t="s">
        <v>215</v>
      </c>
      <c r="AL587" s="10" t="s">
        <v>101</v>
      </c>
    </row>
    <row r="588" spans="1:38" s="10" customFormat="1" x14ac:dyDescent="0.35">
      <c r="A588" s="10" t="s">
        <v>809</v>
      </c>
      <c r="B588" s="10" t="s">
        <v>1030</v>
      </c>
      <c r="C588" s="10" t="s">
        <v>102</v>
      </c>
      <c r="D588" s="10" t="s">
        <v>342</v>
      </c>
      <c r="E588" s="10" t="s">
        <v>1140</v>
      </c>
      <c r="F588" s="10" t="s">
        <v>1140</v>
      </c>
      <c r="G588" s="10" t="s">
        <v>53</v>
      </c>
      <c r="H588" s="10" t="s">
        <v>1078</v>
      </c>
      <c r="L588" s="10" t="s">
        <v>342</v>
      </c>
      <c r="M588" s="1"/>
      <c r="N588" s="10" t="s">
        <v>342</v>
      </c>
      <c r="O588" s="56"/>
      <c r="P588" s="1"/>
      <c r="Q588" s="59"/>
      <c r="T588" s="10">
        <v>1990</v>
      </c>
      <c r="U588" s="10">
        <v>2030</v>
      </c>
      <c r="V588" s="10">
        <v>0</v>
      </c>
      <c r="W588" s="10">
        <v>0</v>
      </c>
      <c r="X588" s="10" t="s">
        <v>51</v>
      </c>
      <c r="Y588" s="10" t="s">
        <v>51</v>
      </c>
      <c r="AB588" s="10">
        <v>1</v>
      </c>
      <c r="AC588" s="10">
        <v>2050</v>
      </c>
      <c r="AF588" s="10" t="s">
        <v>215</v>
      </c>
      <c r="AL588" s="10" t="s">
        <v>343</v>
      </c>
    </row>
    <row r="589" spans="1:38" s="2" customFormat="1" hidden="1" x14ac:dyDescent="0.35">
      <c r="A589" s="2" t="s">
        <v>809</v>
      </c>
      <c r="B589" s="2" t="s">
        <v>1031</v>
      </c>
      <c r="C589" s="26"/>
      <c r="D589" s="26"/>
      <c r="E589" s="26"/>
      <c r="F589" s="26"/>
      <c r="G589" s="26"/>
      <c r="H589" s="10"/>
      <c r="I589" s="10"/>
      <c r="J589" s="10"/>
      <c r="K589" s="1"/>
      <c r="M589" s="10"/>
      <c r="Q589" s="10"/>
      <c r="S589" s="1"/>
      <c r="T589" s="1"/>
      <c r="U589" s="1"/>
      <c r="V589" s="1"/>
      <c r="W589" s="1"/>
      <c r="X589" s="1"/>
      <c r="Y589" s="1"/>
      <c r="Z589" s="1"/>
    </row>
    <row r="590" spans="1:38" s="2" customFormat="1" hidden="1" x14ac:dyDescent="0.35">
      <c r="A590" s="2" t="s">
        <v>810</v>
      </c>
      <c r="B590" s="2" t="s">
        <v>1028</v>
      </c>
      <c r="C590" s="26">
        <v>42047</v>
      </c>
      <c r="D590" s="26"/>
      <c r="E590" s="26"/>
      <c r="F590" s="26"/>
      <c r="G590" s="26"/>
      <c r="H590" s="10"/>
      <c r="I590" s="10"/>
      <c r="J590" s="10"/>
      <c r="K590" s="1"/>
      <c r="M590" s="10"/>
      <c r="Q590" s="10"/>
      <c r="S590" s="1"/>
      <c r="T590" s="1"/>
      <c r="U590" s="1">
        <v>2030</v>
      </c>
      <c r="V590" s="1">
        <v>1</v>
      </c>
      <c r="W590" s="1">
        <v>1</v>
      </c>
      <c r="X590" s="1"/>
      <c r="Y590" s="1"/>
      <c r="Z590" s="1"/>
      <c r="AB590" s="2">
        <v>0</v>
      </c>
      <c r="AF590" s="2" t="s">
        <v>811</v>
      </c>
    </row>
    <row r="591" spans="1:38" s="10" customFormat="1" ht="17" x14ac:dyDescent="0.35">
      <c r="A591" s="10" t="s">
        <v>810</v>
      </c>
      <c r="B591" s="10" t="s">
        <v>1029</v>
      </c>
      <c r="C591" s="33">
        <v>42531</v>
      </c>
      <c r="I591" s="22" t="s">
        <v>1085</v>
      </c>
      <c r="M591" s="1"/>
      <c r="O591" s="56"/>
      <c r="P591" s="1"/>
      <c r="Q591" s="59"/>
      <c r="U591" s="10">
        <v>2030</v>
      </c>
      <c r="V591" s="10">
        <v>1</v>
      </c>
      <c r="W591" s="10">
        <v>1</v>
      </c>
      <c r="AB591" s="10">
        <v>0</v>
      </c>
      <c r="AF591" s="10" t="s">
        <v>811</v>
      </c>
    </row>
    <row r="592" spans="1:38" s="10" customFormat="1" x14ac:dyDescent="0.35">
      <c r="A592" s="10" t="s">
        <v>810</v>
      </c>
      <c r="B592" s="10" t="s">
        <v>1030</v>
      </c>
      <c r="C592" s="10" t="s">
        <v>812</v>
      </c>
      <c r="D592" s="10">
        <v>38</v>
      </c>
      <c r="E592" s="10" t="s">
        <v>1096</v>
      </c>
      <c r="F592" s="10" t="s">
        <v>1160</v>
      </c>
      <c r="G592" s="10" t="s">
        <v>129</v>
      </c>
      <c r="H592" s="10" t="s">
        <v>1077</v>
      </c>
      <c r="L592" s="10">
        <v>38</v>
      </c>
      <c r="M592" s="1"/>
      <c r="N592" s="10">
        <v>16</v>
      </c>
      <c r="O592" s="56"/>
      <c r="P592" s="1">
        <v>22</v>
      </c>
      <c r="Q592" s="59"/>
      <c r="S592" s="10" t="s">
        <v>45</v>
      </c>
      <c r="U592" s="10">
        <v>2030</v>
      </c>
      <c r="V592" s="10">
        <v>1</v>
      </c>
      <c r="W592" s="10">
        <v>1</v>
      </c>
      <c r="X592" s="10" t="s">
        <v>32</v>
      </c>
      <c r="Y592" s="10" t="s">
        <v>32</v>
      </c>
      <c r="AB592" s="10">
        <v>0</v>
      </c>
      <c r="AF592" s="10" t="s">
        <v>813</v>
      </c>
      <c r="AI592" s="10" t="s">
        <v>814</v>
      </c>
      <c r="AJ592" s="10" t="s">
        <v>815</v>
      </c>
    </row>
    <row r="593" spans="1:36" s="2" customFormat="1" ht="17" hidden="1" x14ac:dyDescent="0.35">
      <c r="A593" s="2" t="s">
        <v>810</v>
      </c>
      <c r="B593" s="2" t="s">
        <v>1031</v>
      </c>
      <c r="C593" s="31">
        <v>45881</v>
      </c>
      <c r="D593" s="26">
        <v>46</v>
      </c>
      <c r="E593" s="26"/>
      <c r="F593" s="26"/>
      <c r="G593" s="26"/>
      <c r="H593" s="10" t="s">
        <v>1077</v>
      </c>
      <c r="I593" s="23"/>
      <c r="J593" s="23"/>
      <c r="K593" s="19"/>
      <c r="L593" s="2">
        <v>46</v>
      </c>
      <c r="M593" s="10"/>
      <c r="N593" s="2">
        <v>7</v>
      </c>
      <c r="P593" s="2">
        <v>39</v>
      </c>
      <c r="Q593" s="10"/>
      <c r="S593" s="1" t="s">
        <v>30</v>
      </c>
      <c r="T593" s="1"/>
      <c r="U593" s="1">
        <v>2030</v>
      </c>
      <c r="V593" s="1">
        <v>1</v>
      </c>
      <c r="W593" s="1">
        <v>1</v>
      </c>
      <c r="X593" s="1" t="s">
        <v>32</v>
      </c>
      <c r="Y593" s="1" t="s">
        <v>32</v>
      </c>
      <c r="Z593" s="1"/>
      <c r="AB593" s="2">
        <v>0</v>
      </c>
    </row>
    <row r="594" spans="1:36" s="2" customFormat="1" hidden="1" x14ac:dyDescent="0.35">
      <c r="A594" s="2" t="s">
        <v>816</v>
      </c>
      <c r="B594" s="2" t="s">
        <v>1028</v>
      </c>
      <c r="C594" s="26">
        <v>42350</v>
      </c>
      <c r="D594" s="26">
        <v>35</v>
      </c>
      <c r="E594" s="26"/>
      <c r="F594" s="26"/>
      <c r="G594" s="26"/>
      <c r="H594" s="2" t="s">
        <v>1076</v>
      </c>
      <c r="I594" s="10"/>
      <c r="J594" s="10"/>
      <c r="K594" s="1"/>
      <c r="L594" s="2">
        <v>35</v>
      </c>
      <c r="M594" s="10"/>
      <c r="P594" s="2">
        <v>35</v>
      </c>
      <c r="Q594" s="10"/>
      <c r="R594" s="2">
        <v>22</v>
      </c>
      <c r="S594" s="1" t="s">
        <v>45</v>
      </c>
      <c r="T594" s="1"/>
      <c r="U594" s="1">
        <v>2030</v>
      </c>
      <c r="V594" s="1">
        <v>1</v>
      </c>
      <c r="W594" s="1">
        <v>1</v>
      </c>
      <c r="X594" s="1" t="s">
        <v>32</v>
      </c>
      <c r="Y594" s="1" t="s">
        <v>32</v>
      </c>
      <c r="Z594" s="1"/>
      <c r="AA594" s="2">
        <v>2025</v>
      </c>
      <c r="AB594" s="2">
        <v>0</v>
      </c>
      <c r="AF594" s="2" t="s">
        <v>817</v>
      </c>
    </row>
    <row r="595" spans="1:36" s="10" customFormat="1" ht="17.5" x14ac:dyDescent="0.35">
      <c r="A595" s="10" t="s">
        <v>816</v>
      </c>
      <c r="B595" s="10" t="s">
        <v>1029</v>
      </c>
      <c r="C595" s="10" t="s">
        <v>143</v>
      </c>
      <c r="D595" s="10">
        <v>35</v>
      </c>
      <c r="E595" s="10" t="s">
        <v>1120</v>
      </c>
      <c r="F595" s="10" t="s">
        <v>1097</v>
      </c>
      <c r="G595" s="12" t="s">
        <v>129</v>
      </c>
      <c r="H595" s="10" t="s">
        <v>1076</v>
      </c>
      <c r="L595" s="10">
        <v>35</v>
      </c>
      <c r="M595" s="1"/>
      <c r="O595" s="56"/>
      <c r="P595" s="1">
        <v>35</v>
      </c>
      <c r="Q595" s="59"/>
      <c r="R595" s="10">
        <v>22</v>
      </c>
      <c r="S595" s="10" t="s">
        <v>45</v>
      </c>
      <c r="U595" s="10">
        <v>2030</v>
      </c>
      <c r="V595" s="10">
        <v>1</v>
      </c>
      <c r="W595" s="10">
        <v>1</v>
      </c>
      <c r="X595" s="10" t="s">
        <v>32</v>
      </c>
      <c r="Y595" s="10" t="s">
        <v>32</v>
      </c>
      <c r="AA595" s="10">
        <v>2025</v>
      </c>
      <c r="AB595" s="10">
        <v>0</v>
      </c>
      <c r="AF595" s="10" t="s">
        <v>817</v>
      </c>
    </row>
    <row r="596" spans="1:36" s="10" customFormat="1" ht="17.5" x14ac:dyDescent="0.35">
      <c r="A596" s="10" t="s">
        <v>816</v>
      </c>
      <c r="B596" s="10" t="s">
        <v>1030</v>
      </c>
      <c r="C596" s="10" t="s">
        <v>818</v>
      </c>
      <c r="D596" s="10" t="s">
        <v>819</v>
      </c>
      <c r="E596" s="10" t="s">
        <v>1096</v>
      </c>
      <c r="F596" s="10" t="s">
        <v>1097</v>
      </c>
      <c r="G596" s="12" t="s">
        <v>53</v>
      </c>
      <c r="H596" s="10" t="s">
        <v>1076</v>
      </c>
      <c r="L596" s="10" t="s">
        <v>819</v>
      </c>
      <c r="M596" s="1"/>
      <c r="O596" s="56"/>
      <c r="P596" s="1" t="s">
        <v>819</v>
      </c>
      <c r="Q596" s="59"/>
      <c r="T596" s="10">
        <v>2010</v>
      </c>
      <c r="U596" s="10">
        <v>2030</v>
      </c>
      <c r="V596" s="10">
        <v>1</v>
      </c>
      <c r="W596" s="10">
        <v>1</v>
      </c>
      <c r="X596" s="10" t="s">
        <v>51</v>
      </c>
      <c r="Y596" s="10" t="s">
        <v>51</v>
      </c>
      <c r="AB596" s="10">
        <v>0</v>
      </c>
      <c r="AF596" s="10" t="s">
        <v>817</v>
      </c>
      <c r="AJ596" s="10" t="s">
        <v>820</v>
      </c>
    </row>
    <row r="597" spans="1:36" s="2" customFormat="1" hidden="1" x14ac:dyDescent="0.35">
      <c r="A597" s="2" t="s">
        <v>816</v>
      </c>
      <c r="B597" s="2" t="s">
        <v>1031</v>
      </c>
      <c r="C597" s="26"/>
      <c r="D597" s="26"/>
      <c r="E597" s="26"/>
      <c r="F597" s="26"/>
      <c r="G597" s="26"/>
      <c r="H597" s="10"/>
      <c r="I597" s="10"/>
      <c r="J597" s="10"/>
      <c r="K597" s="1"/>
      <c r="M597" s="10"/>
      <c r="Q597" s="10"/>
      <c r="S597" s="1"/>
      <c r="T597" s="1"/>
      <c r="U597" s="1"/>
      <c r="V597" s="1"/>
      <c r="W597" s="1"/>
      <c r="X597" s="1"/>
      <c r="Y597" s="1"/>
      <c r="Z597" s="1"/>
    </row>
    <row r="598" spans="1:36" s="2" customFormat="1" hidden="1" x14ac:dyDescent="0.35">
      <c r="A598" s="2" t="s">
        <v>821</v>
      </c>
      <c r="B598" s="2" t="s">
        <v>1028</v>
      </c>
      <c r="C598" s="26" t="s">
        <v>112</v>
      </c>
      <c r="D598" s="26">
        <v>23</v>
      </c>
      <c r="E598" s="26"/>
      <c r="F598" s="26"/>
      <c r="G598" s="26"/>
      <c r="H598" s="2" t="s">
        <v>1076</v>
      </c>
      <c r="I598" s="10"/>
      <c r="J598" s="10"/>
      <c r="K598" s="1"/>
      <c r="L598" s="2">
        <v>23</v>
      </c>
      <c r="M598" s="10"/>
      <c r="P598" s="2">
        <v>23</v>
      </c>
      <c r="Q598" s="10"/>
      <c r="R598" s="2">
        <v>16</v>
      </c>
      <c r="S598" s="1" t="s">
        <v>45</v>
      </c>
      <c r="T598" s="1"/>
      <c r="U598" s="1">
        <v>2030</v>
      </c>
      <c r="V598" s="1">
        <v>1</v>
      </c>
      <c r="W598" s="1">
        <v>1</v>
      </c>
      <c r="X598" s="1" t="s">
        <v>32</v>
      </c>
      <c r="Y598" s="1" t="s">
        <v>32</v>
      </c>
      <c r="Z598" s="1"/>
      <c r="AA598" s="2">
        <v>2025</v>
      </c>
      <c r="AB598" s="2">
        <v>0</v>
      </c>
      <c r="AF598" s="2" t="s">
        <v>822</v>
      </c>
    </row>
    <row r="599" spans="1:36" s="10" customFormat="1" ht="17.5" x14ac:dyDescent="0.35">
      <c r="A599" s="10" t="s">
        <v>821</v>
      </c>
      <c r="B599" s="10" t="s">
        <v>1029</v>
      </c>
      <c r="C599" s="10" t="s">
        <v>143</v>
      </c>
      <c r="D599" s="10">
        <v>23</v>
      </c>
      <c r="E599" s="10" t="s">
        <v>1096</v>
      </c>
      <c r="F599" s="10" t="s">
        <v>1097</v>
      </c>
      <c r="G599" s="12" t="s">
        <v>38</v>
      </c>
      <c r="H599" s="10" t="s">
        <v>1076</v>
      </c>
      <c r="L599" s="10">
        <v>23</v>
      </c>
      <c r="M599" s="1"/>
      <c r="O599" s="56"/>
      <c r="P599" s="1">
        <v>23</v>
      </c>
      <c r="Q599" s="59"/>
      <c r="R599" s="10">
        <v>16</v>
      </c>
      <c r="S599" s="10" t="s">
        <v>45</v>
      </c>
      <c r="U599" s="10">
        <v>2030</v>
      </c>
      <c r="V599" s="10">
        <v>1</v>
      </c>
      <c r="W599" s="10">
        <v>1</v>
      </c>
      <c r="X599" s="10" t="s">
        <v>32</v>
      </c>
      <c r="Y599" s="10" t="s">
        <v>32</v>
      </c>
      <c r="AA599" s="10">
        <v>2025</v>
      </c>
      <c r="AB599" s="10">
        <v>0</v>
      </c>
      <c r="AF599" s="10" t="s">
        <v>822</v>
      </c>
    </row>
    <row r="600" spans="1:36" s="10" customFormat="1" ht="17.5" x14ac:dyDescent="0.35">
      <c r="A600" s="10" t="s">
        <v>821</v>
      </c>
      <c r="B600" s="10" t="s">
        <v>1030</v>
      </c>
      <c r="C600" s="10" t="s">
        <v>823</v>
      </c>
      <c r="D600" s="10">
        <v>7</v>
      </c>
      <c r="E600" s="10" t="s">
        <v>1096</v>
      </c>
      <c r="F600" s="10" t="s">
        <v>1097</v>
      </c>
      <c r="G600" s="12" t="s">
        <v>53</v>
      </c>
      <c r="H600" s="10" t="s">
        <v>1076</v>
      </c>
      <c r="L600" s="10">
        <v>7</v>
      </c>
      <c r="M600" s="1"/>
      <c r="O600" s="56"/>
      <c r="P600" s="1">
        <v>7</v>
      </c>
      <c r="Q600" s="59"/>
      <c r="T600" s="10">
        <v>2010</v>
      </c>
      <c r="U600" s="10">
        <v>2030</v>
      </c>
      <c r="V600" s="10">
        <v>1</v>
      </c>
      <c r="W600" s="10">
        <v>1</v>
      </c>
      <c r="X600" s="10" t="s">
        <v>51</v>
      </c>
      <c r="Y600" s="10" t="s">
        <v>51</v>
      </c>
      <c r="AB600" s="10">
        <v>0</v>
      </c>
      <c r="AF600" s="10" t="s">
        <v>824</v>
      </c>
    </row>
    <row r="601" spans="1:36" s="2" customFormat="1" hidden="1" x14ac:dyDescent="0.35">
      <c r="A601" s="2" t="s">
        <v>821</v>
      </c>
      <c r="B601" s="2" t="s">
        <v>1031</v>
      </c>
      <c r="C601" s="26">
        <v>45810</v>
      </c>
      <c r="D601" s="26"/>
      <c r="E601" s="26"/>
      <c r="F601" s="26"/>
      <c r="G601" s="26"/>
      <c r="H601" s="10"/>
      <c r="I601" s="10"/>
      <c r="J601" s="10"/>
      <c r="K601" s="1"/>
      <c r="M601" s="10"/>
      <c r="Q601" s="10"/>
      <c r="R601" s="2">
        <v>22</v>
      </c>
      <c r="S601" s="1"/>
      <c r="T601" s="1">
        <v>2010</v>
      </c>
      <c r="U601" s="1">
        <v>2030</v>
      </c>
      <c r="V601" s="1">
        <v>1</v>
      </c>
      <c r="W601" s="1">
        <v>1</v>
      </c>
      <c r="X601" s="1" t="s">
        <v>51</v>
      </c>
      <c r="Y601" s="1" t="s">
        <v>51</v>
      </c>
      <c r="Z601" s="1"/>
      <c r="AA601" s="2">
        <v>2035</v>
      </c>
      <c r="AB601" s="2">
        <v>0</v>
      </c>
      <c r="AF601" s="2" t="s">
        <v>825</v>
      </c>
    </row>
    <row r="602" spans="1:36" s="2" customFormat="1" hidden="1" x14ac:dyDescent="0.35">
      <c r="A602" s="2" t="s">
        <v>826</v>
      </c>
      <c r="B602" s="2" t="s">
        <v>1028</v>
      </c>
      <c r="C602" s="26" t="s">
        <v>112</v>
      </c>
      <c r="D602" s="26">
        <v>22</v>
      </c>
      <c r="E602" s="26"/>
      <c r="F602" s="26"/>
      <c r="G602" s="26"/>
      <c r="H602" s="2" t="s">
        <v>1076</v>
      </c>
      <c r="I602" s="10"/>
      <c r="J602" s="10"/>
      <c r="K602" s="1"/>
      <c r="L602" s="2">
        <v>22</v>
      </c>
      <c r="M602" s="10"/>
      <c r="P602" s="2">
        <v>22</v>
      </c>
      <c r="Q602" s="10"/>
      <c r="S602" s="1" t="s">
        <v>45</v>
      </c>
      <c r="T602" s="1"/>
      <c r="U602" s="1">
        <v>2025</v>
      </c>
      <c r="V602" s="1">
        <v>0</v>
      </c>
      <c r="W602" s="1">
        <v>1</v>
      </c>
      <c r="X602" s="1" t="s">
        <v>32</v>
      </c>
      <c r="Y602" s="1" t="s">
        <v>32</v>
      </c>
      <c r="Z602" s="1"/>
      <c r="AB602" s="2">
        <v>0</v>
      </c>
      <c r="AF602" s="2" t="s">
        <v>825</v>
      </c>
    </row>
    <row r="603" spans="1:36" s="10" customFormat="1" x14ac:dyDescent="0.35">
      <c r="A603" s="10" t="s">
        <v>826</v>
      </c>
      <c r="B603" s="10" t="s">
        <v>1029</v>
      </c>
      <c r="C603" s="10" t="s">
        <v>827</v>
      </c>
      <c r="D603" s="10">
        <v>22</v>
      </c>
      <c r="E603" s="10" t="s">
        <v>1140</v>
      </c>
      <c r="F603" s="10" t="s">
        <v>1140</v>
      </c>
      <c r="G603" s="10" t="s">
        <v>38</v>
      </c>
      <c r="H603" s="10" t="s">
        <v>1078</v>
      </c>
      <c r="L603" s="10">
        <v>22</v>
      </c>
      <c r="M603" s="1"/>
      <c r="N603" s="10">
        <v>22</v>
      </c>
      <c r="O603" s="56"/>
      <c r="P603" s="1"/>
      <c r="Q603" s="59"/>
      <c r="S603" s="10" t="s">
        <v>45</v>
      </c>
      <c r="U603" s="10">
        <v>2025</v>
      </c>
      <c r="V603" s="10">
        <v>0</v>
      </c>
      <c r="W603" s="10">
        <v>1</v>
      </c>
      <c r="X603" s="10" t="s">
        <v>32</v>
      </c>
      <c r="Y603" s="10" t="s">
        <v>32</v>
      </c>
      <c r="AB603" s="10">
        <v>0</v>
      </c>
      <c r="AF603" s="10" t="s">
        <v>828</v>
      </c>
    </row>
    <row r="604" spans="1:36" s="10" customFormat="1" x14ac:dyDescent="0.35">
      <c r="A604" s="10" t="s">
        <v>826</v>
      </c>
      <c r="B604" s="10" t="s">
        <v>1030</v>
      </c>
      <c r="I604" s="10" t="s">
        <v>1082</v>
      </c>
      <c r="M604" s="1"/>
      <c r="O604" s="56"/>
      <c r="P604" s="1"/>
      <c r="Q604" s="59"/>
    </row>
    <row r="605" spans="1:36" s="2" customFormat="1" ht="17" hidden="1" x14ac:dyDescent="0.35">
      <c r="A605" s="2" t="s">
        <v>826</v>
      </c>
      <c r="B605" s="2" t="s">
        <v>1031</v>
      </c>
      <c r="C605" s="30" t="s">
        <v>1062</v>
      </c>
      <c r="D605" s="26">
        <v>25</v>
      </c>
      <c r="E605" s="26"/>
      <c r="F605" s="26"/>
      <c r="G605" s="26"/>
      <c r="H605" s="2" t="s">
        <v>1076</v>
      </c>
      <c r="I605" s="14"/>
      <c r="J605" s="14"/>
      <c r="K605" s="18"/>
      <c r="L605" s="2">
        <v>25</v>
      </c>
      <c r="M605" s="10"/>
      <c r="P605" s="2">
        <v>25</v>
      </c>
      <c r="Q605" s="10"/>
      <c r="S605" s="1" t="s">
        <v>30</v>
      </c>
      <c r="T605" s="1"/>
      <c r="U605" s="1">
        <v>2030</v>
      </c>
      <c r="V605" s="1">
        <v>1</v>
      </c>
      <c r="W605" s="1">
        <v>1</v>
      </c>
      <c r="X605" s="1" t="s">
        <v>32</v>
      </c>
      <c r="Y605" s="1" t="s">
        <v>32</v>
      </c>
      <c r="Z605" s="1"/>
      <c r="AB605" s="2">
        <v>0</v>
      </c>
    </row>
    <row r="606" spans="1:36" s="2" customFormat="1" hidden="1" x14ac:dyDescent="0.35">
      <c r="A606" s="2" t="s">
        <v>829</v>
      </c>
      <c r="B606" s="2" t="s">
        <v>1028</v>
      </c>
      <c r="C606" s="26" t="s">
        <v>830</v>
      </c>
      <c r="D606" s="26"/>
      <c r="E606" s="26"/>
      <c r="F606" s="26"/>
      <c r="G606" s="26" t="s">
        <v>831</v>
      </c>
      <c r="H606" s="10"/>
      <c r="I606" s="10"/>
      <c r="J606" s="10"/>
      <c r="K606" s="1"/>
      <c r="M606" s="10"/>
      <c r="Q606" s="10"/>
      <c r="S606" s="1"/>
      <c r="T606" s="1"/>
      <c r="U606" s="1">
        <v>2025</v>
      </c>
      <c r="V606" s="1"/>
      <c r="W606" s="1"/>
      <c r="X606" s="1"/>
      <c r="Y606" s="1"/>
      <c r="Z606" s="1"/>
      <c r="AB606" s="2">
        <v>0</v>
      </c>
      <c r="AF606" s="2" t="s">
        <v>832</v>
      </c>
    </row>
    <row r="607" spans="1:36" s="10" customFormat="1" x14ac:dyDescent="0.35">
      <c r="A607" s="10" t="s">
        <v>829</v>
      </c>
      <c r="B607" s="10" t="s">
        <v>1029</v>
      </c>
      <c r="C607" s="10" t="s">
        <v>143</v>
      </c>
      <c r="G607" s="10" t="s">
        <v>831</v>
      </c>
      <c r="I607" s="22" t="s">
        <v>1085</v>
      </c>
      <c r="M607" s="1"/>
      <c r="O607" s="56"/>
      <c r="P607" s="1"/>
      <c r="Q607" s="59"/>
      <c r="U607" s="10">
        <v>2025</v>
      </c>
      <c r="AB607" s="10">
        <v>0</v>
      </c>
      <c r="AF607" s="10" t="s">
        <v>832</v>
      </c>
    </row>
    <row r="608" spans="1:36" s="10" customFormat="1" x14ac:dyDescent="0.35">
      <c r="A608" s="10" t="s">
        <v>829</v>
      </c>
      <c r="B608" s="10" t="s">
        <v>1030</v>
      </c>
      <c r="C608" s="10" t="s">
        <v>144</v>
      </c>
      <c r="D608" s="10">
        <v>26</v>
      </c>
      <c r="E608" s="10" t="s">
        <v>1097</v>
      </c>
      <c r="F608" s="10" t="s">
        <v>1097</v>
      </c>
      <c r="G608" s="10" t="s">
        <v>48</v>
      </c>
      <c r="H608" s="10" t="s">
        <v>1076</v>
      </c>
      <c r="L608" s="10">
        <v>26</v>
      </c>
      <c r="M608" s="1"/>
      <c r="O608" s="56"/>
      <c r="P608" s="1">
        <v>26</v>
      </c>
      <c r="Q608" s="59"/>
      <c r="T608" s="10">
        <v>2007</v>
      </c>
      <c r="U608" s="10">
        <v>2030</v>
      </c>
      <c r="V608" s="10">
        <v>1</v>
      </c>
      <c r="W608" s="10">
        <v>1</v>
      </c>
      <c r="X608" s="10" t="s">
        <v>51</v>
      </c>
      <c r="Y608" s="10" t="s">
        <v>51</v>
      </c>
      <c r="AB608" s="10">
        <v>0</v>
      </c>
      <c r="AF608" s="10" t="s">
        <v>832</v>
      </c>
    </row>
    <row r="609" spans="1:36" s="2" customFormat="1" ht="17" hidden="1" x14ac:dyDescent="0.35">
      <c r="A609" s="2" t="s">
        <v>829</v>
      </c>
      <c r="B609" s="2" t="s">
        <v>1031</v>
      </c>
      <c r="C609" s="30" t="s">
        <v>1063</v>
      </c>
      <c r="D609" s="26"/>
      <c r="E609" s="26"/>
      <c r="F609" s="26"/>
      <c r="G609" s="26"/>
      <c r="H609" s="2" t="s">
        <v>1076</v>
      </c>
      <c r="I609" s="14"/>
      <c r="J609" s="14"/>
      <c r="K609" s="18"/>
      <c r="M609" s="13">
        <v>103.46</v>
      </c>
      <c r="Q609" s="13">
        <v>103.46</v>
      </c>
      <c r="S609" s="1" t="s">
        <v>30</v>
      </c>
      <c r="T609" s="1"/>
      <c r="U609" s="1">
        <v>2035</v>
      </c>
      <c r="V609" s="1">
        <v>1</v>
      </c>
      <c r="W609" s="1">
        <v>1</v>
      </c>
      <c r="X609" s="1" t="s">
        <v>32</v>
      </c>
      <c r="Y609" s="1" t="s">
        <v>32</v>
      </c>
      <c r="Z609" s="1"/>
      <c r="AB609" s="2">
        <v>0</v>
      </c>
    </row>
    <row r="610" spans="1:36" s="2" customFormat="1" hidden="1" x14ac:dyDescent="0.35">
      <c r="A610" s="2" t="s">
        <v>833</v>
      </c>
      <c r="B610" s="2" t="s">
        <v>1028</v>
      </c>
      <c r="C610" s="26" t="s">
        <v>170</v>
      </c>
      <c r="D610" s="26">
        <v>20</v>
      </c>
      <c r="E610" s="26"/>
      <c r="F610" s="26"/>
      <c r="G610" s="26"/>
      <c r="H610" s="2" t="s">
        <v>1078</v>
      </c>
      <c r="I610" s="10"/>
      <c r="J610" s="10"/>
      <c r="K610" s="1"/>
      <c r="L610" s="2">
        <v>20</v>
      </c>
      <c r="M610" s="10"/>
      <c r="N610" s="2">
        <v>20</v>
      </c>
      <c r="Q610" s="10"/>
      <c r="S610" s="1"/>
      <c r="T610" s="1">
        <v>2005</v>
      </c>
      <c r="U610" s="1">
        <v>2030</v>
      </c>
      <c r="V610" s="1">
        <v>1</v>
      </c>
      <c r="W610" s="1">
        <v>0</v>
      </c>
      <c r="X610" s="1" t="s">
        <v>51</v>
      </c>
      <c r="Y610" s="1" t="s">
        <v>51</v>
      </c>
      <c r="Z610" s="1"/>
      <c r="AB610" s="2">
        <v>0</v>
      </c>
      <c r="AF610" s="2" t="s">
        <v>834</v>
      </c>
    </row>
    <row r="611" spans="1:36" s="10" customFormat="1" x14ac:dyDescent="0.35">
      <c r="A611" s="10" t="s">
        <v>833</v>
      </c>
      <c r="B611" s="10" t="s">
        <v>1029</v>
      </c>
      <c r="C611" s="10" t="s">
        <v>835</v>
      </c>
      <c r="D611" s="10">
        <v>20</v>
      </c>
      <c r="E611" s="10" t="s">
        <v>1091</v>
      </c>
      <c r="F611" s="10" t="s">
        <v>1091</v>
      </c>
      <c r="G611" s="10" t="s">
        <v>1117</v>
      </c>
      <c r="H611" s="10" t="s">
        <v>1078</v>
      </c>
      <c r="L611" s="10">
        <v>20</v>
      </c>
      <c r="M611" s="1"/>
      <c r="N611" s="10">
        <v>20</v>
      </c>
      <c r="O611" s="56"/>
      <c r="P611" s="1"/>
      <c r="Q611" s="59"/>
      <c r="T611" s="10">
        <v>2005</v>
      </c>
      <c r="U611" s="10">
        <v>2030</v>
      </c>
      <c r="V611" s="10">
        <v>1</v>
      </c>
      <c r="W611" s="10">
        <v>0</v>
      </c>
      <c r="X611" s="10" t="s">
        <v>51</v>
      </c>
      <c r="Y611" s="10" t="s">
        <v>51</v>
      </c>
      <c r="AB611" s="10">
        <v>0</v>
      </c>
      <c r="AF611" s="10" t="s">
        <v>834</v>
      </c>
    </row>
    <row r="612" spans="1:36" s="10" customFormat="1" x14ac:dyDescent="0.35">
      <c r="A612" s="10" t="s">
        <v>833</v>
      </c>
      <c r="B612" s="10" t="s">
        <v>1030</v>
      </c>
      <c r="I612" s="10" t="s">
        <v>1082</v>
      </c>
      <c r="M612" s="1"/>
      <c r="O612" s="56"/>
      <c r="P612" s="1"/>
      <c r="Q612" s="59"/>
    </row>
    <row r="613" spans="1:36" s="2" customFormat="1" hidden="1" x14ac:dyDescent="0.35">
      <c r="A613" s="2" t="s">
        <v>833</v>
      </c>
      <c r="B613" s="2" t="s">
        <v>1031</v>
      </c>
      <c r="C613" s="26"/>
      <c r="D613" s="26"/>
      <c r="E613" s="26"/>
      <c r="F613" s="26"/>
      <c r="G613" s="26"/>
      <c r="H613" s="10"/>
      <c r="I613" s="10"/>
      <c r="J613" s="10"/>
      <c r="K613" s="1"/>
      <c r="M613" s="10"/>
      <c r="Q613" s="10"/>
      <c r="S613" s="1"/>
      <c r="T613" s="1"/>
      <c r="U613" s="1"/>
      <c r="V613" s="1"/>
      <c r="W613" s="1"/>
      <c r="X613" s="1"/>
      <c r="Y613" s="1"/>
      <c r="Z613" s="1"/>
    </row>
    <row r="614" spans="1:36" s="2" customFormat="1" hidden="1" x14ac:dyDescent="0.35">
      <c r="A614" s="2" t="s">
        <v>836</v>
      </c>
      <c r="B614" s="2" t="s">
        <v>1028</v>
      </c>
      <c r="C614" s="26">
        <v>42288</v>
      </c>
      <c r="D614" s="26"/>
      <c r="E614" s="26"/>
      <c r="F614" s="26"/>
      <c r="G614" s="26"/>
      <c r="H614" s="10"/>
      <c r="I614" s="10"/>
      <c r="J614" s="10"/>
      <c r="K614" s="1"/>
      <c r="M614" s="10"/>
      <c r="Q614" s="10"/>
      <c r="S614" s="1"/>
      <c r="T614" s="1"/>
      <c r="U614" s="1"/>
      <c r="V614" s="1">
        <v>0</v>
      </c>
      <c r="W614" s="1">
        <v>1</v>
      </c>
      <c r="X614" s="1"/>
      <c r="Y614" s="1"/>
      <c r="Z614" s="1"/>
      <c r="AB614" s="2">
        <v>0</v>
      </c>
      <c r="AF614" s="2" t="s">
        <v>837</v>
      </c>
    </row>
    <row r="615" spans="1:36" s="46" customFormat="1" x14ac:dyDescent="0.35">
      <c r="A615" s="46" t="s">
        <v>836</v>
      </c>
      <c r="B615" s="46" t="s">
        <v>1029</v>
      </c>
      <c r="C615" s="46">
        <v>42440</v>
      </c>
      <c r="I615" s="48" t="s">
        <v>1085</v>
      </c>
      <c r="M615" s="51"/>
      <c r="O615" s="57"/>
      <c r="P615" s="51"/>
      <c r="Q615" s="60"/>
      <c r="V615" s="46">
        <v>0</v>
      </c>
      <c r="W615" s="46">
        <v>1</v>
      </c>
      <c r="AB615" s="46">
        <v>0</v>
      </c>
      <c r="AF615" s="46" t="s">
        <v>837</v>
      </c>
    </row>
    <row r="616" spans="1:36" s="46" customFormat="1" x14ac:dyDescent="0.35">
      <c r="A616" s="46" t="s">
        <v>836</v>
      </c>
      <c r="B616" s="46" t="s">
        <v>1030</v>
      </c>
      <c r="C616" s="46" t="s">
        <v>838</v>
      </c>
      <c r="H616" s="46" t="s">
        <v>1076</v>
      </c>
      <c r="I616" s="48" t="s">
        <v>1085</v>
      </c>
      <c r="M616" s="55">
        <v>278000</v>
      </c>
      <c r="O616" s="57"/>
      <c r="P616" s="51"/>
      <c r="Q616" s="62">
        <v>278000</v>
      </c>
      <c r="T616" s="46">
        <v>2019</v>
      </c>
      <c r="U616" s="46">
        <v>2030</v>
      </c>
      <c r="V616" s="46">
        <v>0</v>
      </c>
      <c r="W616" s="46">
        <v>1</v>
      </c>
      <c r="AB616" s="46">
        <v>0</v>
      </c>
      <c r="AF616" s="46" t="s">
        <v>837</v>
      </c>
    </row>
    <row r="617" spans="1:36" s="2" customFormat="1" ht="17" hidden="1" x14ac:dyDescent="0.35">
      <c r="A617" s="2" t="s">
        <v>836</v>
      </c>
      <c r="B617" s="2" t="s">
        <v>1031</v>
      </c>
      <c r="C617" s="30" t="s">
        <v>1038</v>
      </c>
      <c r="D617" s="26"/>
      <c r="E617" s="26"/>
      <c r="F617" s="26"/>
      <c r="G617" s="26"/>
      <c r="H617" s="2" t="s">
        <v>1076</v>
      </c>
      <c r="I617" s="14"/>
      <c r="J617" s="14"/>
      <c r="K617" s="18"/>
      <c r="M617" s="10">
        <v>335000</v>
      </c>
      <c r="Q617" s="10">
        <v>335000</v>
      </c>
      <c r="S617" s="1"/>
      <c r="T617" s="1">
        <v>2019</v>
      </c>
      <c r="U617" s="1">
        <v>2040</v>
      </c>
      <c r="V617" s="1">
        <v>1</v>
      </c>
      <c r="W617" s="1">
        <v>0</v>
      </c>
      <c r="X617" s="1"/>
      <c r="Y617" s="1"/>
      <c r="Z617" s="1"/>
      <c r="AB617" s="2">
        <v>0</v>
      </c>
    </row>
    <row r="618" spans="1:36" s="2" customFormat="1" hidden="1" x14ac:dyDescent="0.35">
      <c r="A618" s="2" t="s">
        <v>839</v>
      </c>
      <c r="B618" s="2" t="s">
        <v>1028</v>
      </c>
      <c r="C618" s="26" t="s">
        <v>840</v>
      </c>
      <c r="D618" s="26" t="s">
        <v>841</v>
      </c>
      <c r="E618" s="26"/>
      <c r="F618" s="26"/>
      <c r="G618" s="26"/>
      <c r="H618" s="10" t="s">
        <v>1077</v>
      </c>
      <c r="I618" s="10"/>
      <c r="J618" s="10"/>
      <c r="K618" s="1"/>
      <c r="L618" s="2" t="s">
        <v>841</v>
      </c>
      <c r="M618" s="10"/>
      <c r="N618" s="2">
        <v>5</v>
      </c>
      <c r="P618" s="2">
        <v>16</v>
      </c>
      <c r="Q618" s="10"/>
      <c r="R618" s="2">
        <v>15</v>
      </c>
      <c r="S618" s="1" t="s">
        <v>45</v>
      </c>
      <c r="T618" s="1"/>
      <c r="U618" s="1">
        <v>2030</v>
      </c>
      <c r="V618" s="1">
        <v>1</v>
      </c>
      <c r="W618" s="1">
        <v>1</v>
      </c>
      <c r="X618" s="1" t="s">
        <v>32</v>
      </c>
      <c r="Y618" s="1" t="s">
        <v>32</v>
      </c>
      <c r="Z618" s="1"/>
      <c r="AA618" s="2">
        <v>2025</v>
      </c>
      <c r="AB618" s="2">
        <v>0</v>
      </c>
      <c r="AF618" s="2" t="s">
        <v>842</v>
      </c>
    </row>
    <row r="619" spans="1:36" s="10" customFormat="1" x14ac:dyDescent="0.35">
      <c r="A619" s="10" t="s">
        <v>839</v>
      </c>
      <c r="B619" s="10" t="s">
        <v>1029</v>
      </c>
      <c r="C619" s="10" t="s">
        <v>840</v>
      </c>
      <c r="D619" s="10" t="s">
        <v>841</v>
      </c>
      <c r="E619" s="10" t="s">
        <v>1167</v>
      </c>
      <c r="F619" s="10" t="s">
        <v>1168</v>
      </c>
      <c r="G619" s="10" t="s">
        <v>157</v>
      </c>
      <c r="H619" s="10" t="s">
        <v>1077</v>
      </c>
      <c r="L619" s="10" t="s">
        <v>841</v>
      </c>
      <c r="M619" s="1"/>
      <c r="N619" s="10">
        <v>5</v>
      </c>
      <c r="O619" s="56"/>
      <c r="P619" s="1">
        <v>16</v>
      </c>
      <c r="Q619" s="59"/>
      <c r="R619" s="10">
        <v>15</v>
      </c>
      <c r="S619" s="10" t="s">
        <v>45</v>
      </c>
      <c r="U619" s="10">
        <v>2030</v>
      </c>
      <c r="V619" s="10">
        <v>1</v>
      </c>
      <c r="W619" s="10">
        <v>1</v>
      </c>
      <c r="X619" s="10" t="s">
        <v>32</v>
      </c>
      <c r="Y619" s="10" t="s">
        <v>32</v>
      </c>
      <c r="AA619" s="10">
        <v>2025</v>
      </c>
      <c r="AB619" s="10">
        <v>0</v>
      </c>
      <c r="AF619" s="10" t="s">
        <v>842</v>
      </c>
    </row>
    <row r="620" spans="1:36" s="10" customFormat="1" x14ac:dyDescent="0.35">
      <c r="A620" s="10" t="s">
        <v>839</v>
      </c>
      <c r="B620" s="10" t="s">
        <v>1030</v>
      </c>
      <c r="C620" s="10" t="s">
        <v>336</v>
      </c>
      <c r="D620" s="10">
        <v>29.5</v>
      </c>
      <c r="E620" s="10" t="s">
        <v>1167</v>
      </c>
      <c r="F620" s="10" t="s">
        <v>1168</v>
      </c>
      <c r="G620" s="10" t="s">
        <v>129</v>
      </c>
      <c r="H620" s="10" t="s">
        <v>1077</v>
      </c>
      <c r="L620" s="10">
        <v>29.5</v>
      </c>
      <c r="M620" s="1"/>
      <c r="N620" s="10">
        <v>7</v>
      </c>
      <c r="O620" s="56"/>
      <c r="P620" s="1">
        <v>22.5</v>
      </c>
      <c r="Q620" s="59"/>
      <c r="R620" s="10" t="s">
        <v>843</v>
      </c>
      <c r="S620" s="10" t="s">
        <v>45</v>
      </c>
      <c r="U620" s="10">
        <v>2030</v>
      </c>
      <c r="V620" s="10">
        <v>1</v>
      </c>
      <c r="W620" s="10">
        <v>1</v>
      </c>
      <c r="X620" s="10" t="s">
        <v>32</v>
      </c>
      <c r="Y620" s="10" t="s">
        <v>32</v>
      </c>
      <c r="AA620" s="10">
        <v>2025</v>
      </c>
      <c r="AB620" s="10">
        <v>0</v>
      </c>
      <c r="AF620" s="10" t="s">
        <v>179</v>
      </c>
      <c r="AJ620" s="10" t="s">
        <v>844</v>
      </c>
    </row>
    <row r="621" spans="1:36" s="2" customFormat="1" hidden="1" x14ac:dyDescent="0.35">
      <c r="A621" s="2" t="s">
        <v>839</v>
      </c>
      <c r="B621" s="2" t="s">
        <v>1031</v>
      </c>
      <c r="C621" s="26"/>
      <c r="D621" s="26"/>
      <c r="E621" s="26"/>
      <c r="F621" s="26"/>
      <c r="G621" s="26"/>
      <c r="H621" s="10"/>
      <c r="I621" s="10"/>
      <c r="J621" s="10"/>
      <c r="K621" s="1"/>
      <c r="M621" s="10"/>
      <c r="Q621" s="10"/>
      <c r="S621" s="1"/>
      <c r="T621" s="1"/>
      <c r="U621" s="1"/>
      <c r="V621" s="1"/>
      <c r="W621" s="1"/>
      <c r="X621" s="1"/>
      <c r="Y621" s="1"/>
      <c r="Z621" s="1"/>
    </row>
    <row r="622" spans="1:36" s="2" customFormat="1" hidden="1" x14ac:dyDescent="0.35">
      <c r="A622" s="2" t="s">
        <v>845</v>
      </c>
      <c r="B622" s="2" t="s">
        <v>1028</v>
      </c>
      <c r="C622" s="26" t="s">
        <v>504</v>
      </c>
      <c r="D622" s="26">
        <v>9.8000000000000007</v>
      </c>
      <c r="E622" s="26"/>
      <c r="F622" s="26"/>
      <c r="G622" s="26" t="s">
        <v>53</v>
      </c>
      <c r="H622" s="2" t="s">
        <v>1078</v>
      </c>
      <c r="I622" s="10"/>
      <c r="J622" s="10"/>
      <c r="K622" s="1"/>
      <c r="L622" s="2">
        <v>9.8000000000000007</v>
      </c>
      <c r="M622" s="10"/>
      <c r="N622" s="2">
        <v>9.8000000000000007</v>
      </c>
      <c r="Q622" s="10"/>
      <c r="S622" s="1"/>
      <c r="T622" s="1">
        <v>1990</v>
      </c>
      <c r="U622" s="1">
        <v>2030</v>
      </c>
      <c r="V622" s="1">
        <v>0</v>
      </c>
      <c r="W622" s="1">
        <v>1</v>
      </c>
      <c r="X622" s="1" t="s">
        <v>51</v>
      </c>
      <c r="Y622" s="1" t="s">
        <v>51</v>
      </c>
      <c r="Z622" s="1"/>
      <c r="AB622" s="2">
        <v>0</v>
      </c>
      <c r="AF622" s="2" t="s">
        <v>846</v>
      </c>
    </row>
    <row r="623" spans="1:36" s="10" customFormat="1" x14ac:dyDescent="0.35">
      <c r="A623" s="10" t="s">
        <v>845</v>
      </c>
      <c r="B623" s="10" t="s">
        <v>1029</v>
      </c>
      <c r="C623" s="10" t="s">
        <v>847</v>
      </c>
      <c r="D623" s="10">
        <v>9.8000000000000007</v>
      </c>
      <c r="E623" s="10" t="s">
        <v>1091</v>
      </c>
      <c r="F623" s="10" t="s">
        <v>1091</v>
      </c>
      <c r="G623" s="10" t="s">
        <v>53</v>
      </c>
      <c r="H623" s="10" t="s">
        <v>1078</v>
      </c>
      <c r="L623" s="10">
        <v>9.8000000000000007</v>
      </c>
      <c r="M623" s="1"/>
      <c r="N623" s="10">
        <v>9.8000000000000007</v>
      </c>
      <c r="O623" s="56"/>
      <c r="P623" s="1"/>
      <c r="Q623" s="59"/>
      <c r="T623" s="10">
        <v>1990</v>
      </c>
      <c r="U623" s="10">
        <v>2030</v>
      </c>
      <c r="V623" s="10">
        <v>0</v>
      </c>
      <c r="W623" s="10">
        <v>1</v>
      </c>
      <c r="X623" s="10" t="s">
        <v>51</v>
      </c>
      <c r="Y623" s="10" t="s">
        <v>51</v>
      </c>
      <c r="AB623" s="10">
        <v>0</v>
      </c>
      <c r="AF623" s="10" t="s">
        <v>846</v>
      </c>
    </row>
    <row r="624" spans="1:36" s="10" customFormat="1" x14ac:dyDescent="0.35">
      <c r="A624" s="10" t="s">
        <v>845</v>
      </c>
      <c r="B624" s="10" t="s">
        <v>1030</v>
      </c>
      <c r="C624" s="10" t="s">
        <v>848</v>
      </c>
      <c r="D624" s="10">
        <v>13.2</v>
      </c>
      <c r="E624" s="10" t="s">
        <v>1091</v>
      </c>
      <c r="F624" s="10" t="s">
        <v>1091</v>
      </c>
      <c r="G624" s="10" t="s">
        <v>53</v>
      </c>
      <c r="H624" s="10" t="s">
        <v>1078</v>
      </c>
      <c r="L624" s="10">
        <v>13.2</v>
      </c>
      <c r="M624" s="1"/>
      <c r="N624" s="10">
        <v>13.2</v>
      </c>
      <c r="O624" s="56"/>
      <c r="P624" s="1"/>
      <c r="Q624" s="59"/>
      <c r="T624" s="10">
        <v>2010</v>
      </c>
      <c r="U624" s="10">
        <v>2030</v>
      </c>
      <c r="V624" s="10">
        <v>0</v>
      </c>
      <c r="W624" s="10">
        <v>0</v>
      </c>
      <c r="X624" s="10" t="s">
        <v>51</v>
      </c>
      <c r="Y624" s="10" t="s">
        <v>51</v>
      </c>
      <c r="AB624" s="10">
        <v>0</v>
      </c>
      <c r="AF624" s="10" t="s">
        <v>849</v>
      </c>
    </row>
    <row r="625" spans="1:38" s="2" customFormat="1" ht="17" hidden="1" x14ac:dyDescent="0.35">
      <c r="A625" s="2" t="s">
        <v>845</v>
      </c>
      <c r="B625" s="2" t="s">
        <v>1031</v>
      </c>
      <c r="C625" s="30" t="s">
        <v>1064</v>
      </c>
      <c r="D625" s="26">
        <v>40.1</v>
      </c>
      <c r="E625" s="26"/>
      <c r="F625" s="26"/>
      <c r="G625" s="26"/>
      <c r="H625" s="2" t="s">
        <v>1076</v>
      </c>
      <c r="I625" s="14"/>
      <c r="J625" s="14"/>
      <c r="K625" s="18"/>
      <c r="L625" s="2">
        <v>40.1</v>
      </c>
      <c r="M625" s="10"/>
      <c r="P625" s="2">
        <v>40.1</v>
      </c>
      <c r="Q625" s="10"/>
      <c r="S625" s="1"/>
      <c r="T625" s="1">
        <v>1990</v>
      </c>
      <c r="U625" s="1"/>
      <c r="V625" s="1"/>
      <c r="W625" s="1"/>
      <c r="X625" s="1"/>
      <c r="Y625" s="1"/>
      <c r="Z625" s="1"/>
    </row>
    <row r="626" spans="1:38" s="2" customFormat="1" hidden="1" x14ac:dyDescent="0.35">
      <c r="A626" s="2" t="s">
        <v>850</v>
      </c>
      <c r="B626" s="2" t="s">
        <v>1028</v>
      </c>
      <c r="C626" s="26" t="s">
        <v>148</v>
      </c>
      <c r="D626" s="26">
        <v>29</v>
      </c>
      <c r="E626" s="26"/>
      <c r="F626" s="26"/>
      <c r="G626" s="26" t="s">
        <v>129</v>
      </c>
      <c r="H626" s="2" t="s">
        <v>1076</v>
      </c>
      <c r="I626" s="10"/>
      <c r="J626" s="10"/>
      <c r="K626" s="1"/>
      <c r="L626" s="2">
        <v>29</v>
      </c>
      <c r="M626" s="10"/>
      <c r="P626" s="2">
        <v>29</v>
      </c>
      <c r="Q626" s="10"/>
      <c r="R626" s="2" t="s">
        <v>851</v>
      </c>
      <c r="S626" s="1" t="s">
        <v>45</v>
      </c>
      <c r="T626" s="1"/>
      <c r="U626" s="1">
        <v>2030</v>
      </c>
      <c r="V626" s="1">
        <v>1</v>
      </c>
      <c r="W626" s="1">
        <v>1</v>
      </c>
      <c r="X626" s="1" t="s">
        <v>32</v>
      </c>
      <c r="Y626" s="1" t="s">
        <v>32</v>
      </c>
      <c r="Z626" s="1"/>
      <c r="AA626" s="2">
        <v>2025</v>
      </c>
      <c r="AB626" s="2">
        <v>0</v>
      </c>
      <c r="AF626" s="2" t="s">
        <v>852</v>
      </c>
    </row>
    <row r="627" spans="1:38" s="10" customFormat="1" x14ac:dyDescent="0.35">
      <c r="A627" s="10" t="s">
        <v>850</v>
      </c>
      <c r="B627" s="10" t="s">
        <v>1029</v>
      </c>
      <c r="C627" s="10" t="s">
        <v>853</v>
      </c>
      <c r="D627" s="10">
        <v>29</v>
      </c>
      <c r="E627" s="10" t="s">
        <v>1169</v>
      </c>
      <c r="F627" s="10" t="s">
        <v>1150</v>
      </c>
      <c r="G627" s="10" t="s">
        <v>129</v>
      </c>
      <c r="H627" s="10" t="s">
        <v>1076</v>
      </c>
      <c r="L627" s="10">
        <v>29</v>
      </c>
      <c r="M627" s="1"/>
      <c r="O627" s="56"/>
      <c r="P627" s="1">
        <v>29</v>
      </c>
      <c r="Q627" s="59"/>
      <c r="R627" s="10" t="s">
        <v>851</v>
      </c>
      <c r="S627" s="10" t="s">
        <v>45</v>
      </c>
      <c r="U627" s="10">
        <v>2030</v>
      </c>
      <c r="V627" s="10">
        <v>1</v>
      </c>
      <c r="W627" s="10">
        <v>1</v>
      </c>
      <c r="X627" s="10" t="s">
        <v>32</v>
      </c>
      <c r="Y627" s="10" t="s">
        <v>32</v>
      </c>
      <c r="AB627" s="10">
        <v>0</v>
      </c>
      <c r="AF627" s="10" t="s">
        <v>852</v>
      </c>
    </row>
    <row r="628" spans="1:38" s="10" customFormat="1" x14ac:dyDescent="0.35">
      <c r="A628" s="10" t="s">
        <v>850</v>
      </c>
      <c r="B628" s="10" t="s">
        <v>1030</v>
      </c>
      <c r="C628" s="10" t="s">
        <v>144</v>
      </c>
      <c r="D628" s="10">
        <v>26.4</v>
      </c>
      <c r="E628" s="10" t="s">
        <v>1097</v>
      </c>
      <c r="F628" s="10" t="s">
        <v>1097</v>
      </c>
      <c r="G628" s="10" t="s">
        <v>129</v>
      </c>
      <c r="H628" s="10" t="s">
        <v>1076</v>
      </c>
      <c r="L628" s="10">
        <v>26.4</v>
      </c>
      <c r="M628" s="1"/>
      <c r="O628" s="56"/>
      <c r="P628" s="1">
        <v>26.4</v>
      </c>
      <c r="Q628" s="59"/>
      <c r="S628" s="10" t="s">
        <v>45</v>
      </c>
      <c r="U628" s="10">
        <v>2030</v>
      </c>
      <c r="V628" s="10">
        <v>1</v>
      </c>
      <c r="W628" s="10">
        <v>1</v>
      </c>
      <c r="X628" s="10" t="s">
        <v>32</v>
      </c>
      <c r="Y628" s="10" t="s">
        <v>32</v>
      </c>
      <c r="AB628" s="10">
        <v>0</v>
      </c>
      <c r="AF628" s="10" t="s">
        <v>854</v>
      </c>
      <c r="AJ628" s="10" t="s">
        <v>855</v>
      </c>
    </row>
    <row r="629" spans="1:38" s="2" customFormat="1" ht="17.5" hidden="1" x14ac:dyDescent="0.35">
      <c r="A629" s="2" t="s">
        <v>850</v>
      </c>
      <c r="B629" s="2" t="s">
        <v>1031</v>
      </c>
      <c r="C629" s="30" t="s">
        <v>1062</v>
      </c>
      <c r="D629" s="29">
        <v>35.700000000000003</v>
      </c>
      <c r="E629" s="29"/>
      <c r="F629" s="29"/>
      <c r="G629" s="26"/>
      <c r="H629" s="2" t="s">
        <v>1076</v>
      </c>
      <c r="I629" s="14"/>
      <c r="J629" s="14"/>
      <c r="K629" s="18"/>
      <c r="L629" s="4">
        <v>35.700000000000003</v>
      </c>
      <c r="M629" s="10"/>
      <c r="P629" s="4">
        <v>35.700000000000003</v>
      </c>
      <c r="Q629" s="10"/>
      <c r="S629" s="1" t="s">
        <v>45</v>
      </c>
      <c r="T629" s="1"/>
      <c r="U629" s="1">
        <v>2030</v>
      </c>
      <c r="V629" s="1">
        <v>1</v>
      </c>
      <c r="W629" s="1">
        <v>1</v>
      </c>
      <c r="X629" s="1" t="s">
        <v>32</v>
      </c>
      <c r="Y629" s="1" t="s">
        <v>32</v>
      </c>
      <c r="Z629" s="1"/>
      <c r="AB629" s="2">
        <v>0</v>
      </c>
    </row>
    <row r="630" spans="1:38" s="2" customFormat="1" hidden="1" x14ac:dyDescent="0.35">
      <c r="A630" s="2" t="s">
        <v>856</v>
      </c>
      <c r="B630" s="2" t="s">
        <v>1028</v>
      </c>
      <c r="C630" s="26">
        <v>42014</v>
      </c>
      <c r="D630" s="26"/>
      <c r="E630" s="26"/>
      <c r="F630" s="26"/>
      <c r="G630" s="26"/>
      <c r="H630" s="10"/>
      <c r="I630" s="10"/>
      <c r="J630" s="10"/>
      <c r="K630" s="1"/>
      <c r="M630" s="10"/>
      <c r="Q630" s="10"/>
      <c r="S630" s="1"/>
      <c r="T630" s="1"/>
      <c r="U630" s="1"/>
      <c r="V630" s="1">
        <v>1</v>
      </c>
      <c r="W630" s="1">
        <v>1</v>
      </c>
      <c r="X630" s="1"/>
      <c r="Y630" s="1"/>
      <c r="Z630" s="1"/>
      <c r="AB630" s="2">
        <v>1</v>
      </c>
      <c r="AC630" s="2">
        <v>2050</v>
      </c>
      <c r="AF630" s="2" t="s">
        <v>857</v>
      </c>
    </row>
    <row r="631" spans="1:38" s="10" customFormat="1" ht="17" x14ac:dyDescent="0.35">
      <c r="A631" s="10" t="s">
        <v>856</v>
      </c>
      <c r="B631" s="10" t="s">
        <v>1029</v>
      </c>
      <c r="C631" s="33">
        <v>42380</v>
      </c>
      <c r="I631" s="22" t="s">
        <v>1085</v>
      </c>
      <c r="M631" s="1"/>
      <c r="O631" s="56"/>
      <c r="P631" s="1"/>
      <c r="Q631" s="59"/>
      <c r="V631" s="10">
        <v>1</v>
      </c>
      <c r="W631" s="10">
        <v>1</v>
      </c>
      <c r="AB631" s="10">
        <v>1</v>
      </c>
      <c r="AC631" s="10">
        <v>2050</v>
      </c>
      <c r="AF631" s="10" t="s">
        <v>857</v>
      </c>
    </row>
    <row r="632" spans="1:38" s="10" customFormat="1" ht="17.5" x14ac:dyDescent="0.35">
      <c r="A632" s="10" t="s">
        <v>856</v>
      </c>
      <c r="B632" s="10" t="s">
        <v>1030</v>
      </c>
      <c r="C632" s="10" t="s">
        <v>611</v>
      </c>
      <c r="D632" s="10">
        <v>10</v>
      </c>
      <c r="E632" s="10" t="s">
        <v>1170</v>
      </c>
      <c r="F632" s="10" t="s">
        <v>1171</v>
      </c>
      <c r="G632" s="12" t="s">
        <v>157</v>
      </c>
      <c r="H632" s="10" t="s">
        <v>1077</v>
      </c>
      <c r="L632" s="10">
        <v>10</v>
      </c>
      <c r="M632" s="1"/>
      <c r="O632" s="56"/>
      <c r="P632" s="1"/>
      <c r="Q632" s="59"/>
      <c r="R632" s="10">
        <v>5</v>
      </c>
      <c r="S632" s="10" t="s">
        <v>45</v>
      </c>
      <c r="U632" s="10">
        <v>2030</v>
      </c>
      <c r="V632" s="10">
        <v>1</v>
      </c>
      <c r="W632" s="10">
        <v>1</v>
      </c>
      <c r="X632" s="10" t="s">
        <v>32</v>
      </c>
      <c r="Y632" s="10" t="s">
        <v>32</v>
      </c>
      <c r="AA632" s="10">
        <v>2025</v>
      </c>
      <c r="AB632" s="10">
        <v>0</v>
      </c>
      <c r="AC632" s="10">
        <v>2050</v>
      </c>
      <c r="AD632" s="10">
        <v>25</v>
      </c>
      <c r="AF632" s="10" t="s">
        <v>858</v>
      </c>
      <c r="AJ632" s="10" t="s">
        <v>859</v>
      </c>
    </row>
    <row r="633" spans="1:38" s="2" customFormat="1" hidden="1" x14ac:dyDescent="0.35">
      <c r="A633" s="2" t="s">
        <v>856</v>
      </c>
      <c r="B633" s="2" t="s">
        <v>1031</v>
      </c>
      <c r="C633" s="26"/>
      <c r="D633" s="26"/>
      <c r="E633" s="26"/>
      <c r="F633" s="26"/>
      <c r="G633" s="26"/>
      <c r="H633" s="10"/>
      <c r="I633" s="10"/>
      <c r="J633" s="10"/>
      <c r="K633" s="1"/>
      <c r="M633" s="10"/>
      <c r="Q633" s="10"/>
      <c r="S633" s="1"/>
      <c r="T633" s="1"/>
      <c r="U633" s="1"/>
      <c r="V633" s="1"/>
      <c r="W633" s="1"/>
      <c r="X633" s="1"/>
      <c r="Y633" s="1"/>
      <c r="Z633" s="1"/>
    </row>
    <row r="634" spans="1:38" s="2" customFormat="1" hidden="1" x14ac:dyDescent="0.35">
      <c r="A634" s="2" t="s">
        <v>860</v>
      </c>
      <c r="B634" s="2" t="s">
        <v>1028</v>
      </c>
      <c r="C634" s="26">
        <v>42070</v>
      </c>
      <c r="D634" s="26">
        <v>36</v>
      </c>
      <c r="E634" s="26"/>
      <c r="F634" s="26"/>
      <c r="G634" s="26" t="s">
        <v>53</v>
      </c>
      <c r="H634" s="2" t="s">
        <v>1078</v>
      </c>
      <c r="I634" s="10"/>
      <c r="J634" s="10"/>
      <c r="K634" s="1"/>
      <c r="L634" s="2">
        <v>36</v>
      </c>
      <c r="M634" s="10"/>
      <c r="N634" s="2">
        <v>36</v>
      </c>
      <c r="Q634" s="10"/>
      <c r="S634" s="1"/>
      <c r="T634" s="1">
        <v>2005</v>
      </c>
      <c r="U634" s="1">
        <v>2030</v>
      </c>
      <c r="V634" s="1">
        <v>0</v>
      </c>
      <c r="W634" s="1">
        <v>1</v>
      </c>
      <c r="X634" s="1" t="s">
        <v>51</v>
      </c>
      <c r="Y634" s="2" t="s">
        <v>283</v>
      </c>
      <c r="Z634" s="1"/>
      <c r="AB634" s="2">
        <v>0</v>
      </c>
      <c r="AF634" s="2" t="s">
        <v>861</v>
      </c>
    </row>
    <row r="635" spans="1:38" s="1" customFormat="1" x14ac:dyDescent="0.35">
      <c r="A635" s="1" t="s">
        <v>860</v>
      </c>
      <c r="B635" s="1" t="s">
        <v>1029</v>
      </c>
      <c r="C635" s="1" t="s">
        <v>40</v>
      </c>
      <c r="D635" s="1">
        <v>36</v>
      </c>
      <c r="E635" s="1" t="s">
        <v>1172</v>
      </c>
      <c r="F635" s="1" t="s">
        <v>1091</v>
      </c>
      <c r="G635" s="1" t="s">
        <v>53</v>
      </c>
      <c r="H635" s="1" t="s">
        <v>1078</v>
      </c>
      <c r="L635" s="1">
        <v>36</v>
      </c>
      <c r="N635" s="1">
        <v>36</v>
      </c>
      <c r="O635" s="56"/>
      <c r="Q635" s="59"/>
      <c r="T635" s="1">
        <v>2005</v>
      </c>
      <c r="U635" s="1">
        <v>2030</v>
      </c>
      <c r="V635" s="1">
        <v>0</v>
      </c>
      <c r="W635" s="1">
        <v>1</v>
      </c>
      <c r="X635" s="1" t="s">
        <v>51</v>
      </c>
      <c r="Y635" s="1" t="s">
        <v>283</v>
      </c>
      <c r="AB635" s="1">
        <v>0</v>
      </c>
      <c r="AF635" s="1" t="s">
        <v>861</v>
      </c>
    </row>
    <row r="636" spans="1:38" s="1" customFormat="1" ht="17" x14ac:dyDescent="0.35">
      <c r="A636" s="1" t="s">
        <v>860</v>
      </c>
      <c r="B636" s="1" t="s">
        <v>1030</v>
      </c>
      <c r="C636" s="53">
        <v>44662</v>
      </c>
      <c r="E636" s="1" t="s">
        <v>1173</v>
      </c>
      <c r="F636" s="1" t="s">
        <v>1140</v>
      </c>
      <c r="G636" s="1" t="s">
        <v>53</v>
      </c>
      <c r="H636" s="1" t="s">
        <v>1078</v>
      </c>
      <c r="M636" s="54">
        <v>60000</v>
      </c>
      <c r="O636" s="63">
        <v>60000</v>
      </c>
      <c r="U636" s="1">
        <v>2030</v>
      </c>
      <c r="V636" s="1">
        <v>0</v>
      </c>
      <c r="W636" s="1">
        <v>1</v>
      </c>
      <c r="X636" s="1" t="s">
        <v>78</v>
      </c>
      <c r="Y636" s="1" t="s">
        <v>78</v>
      </c>
      <c r="Z636" s="1" t="s">
        <v>1073</v>
      </c>
      <c r="AB636" s="1">
        <v>0</v>
      </c>
      <c r="AF636" s="1" t="s">
        <v>862</v>
      </c>
    </row>
    <row r="637" spans="1:38" s="2" customFormat="1" hidden="1" x14ac:dyDescent="0.35">
      <c r="A637" s="2" t="s">
        <v>860</v>
      </c>
      <c r="B637" s="2" t="s">
        <v>1031</v>
      </c>
      <c r="C637" s="26">
        <v>45932</v>
      </c>
      <c r="D637" s="26"/>
      <c r="E637" s="26"/>
      <c r="F637" s="26"/>
      <c r="G637" s="26"/>
      <c r="H637" s="2" t="s">
        <v>1078</v>
      </c>
      <c r="I637" s="10"/>
      <c r="J637" s="10"/>
      <c r="K637" s="1"/>
      <c r="M637" s="10">
        <v>47500</v>
      </c>
      <c r="Q637" s="10">
        <v>47500</v>
      </c>
      <c r="S637" s="1"/>
      <c r="T637" s="1"/>
      <c r="U637" s="1">
        <v>2035</v>
      </c>
      <c r="V637" s="1">
        <v>0</v>
      </c>
      <c r="W637" s="1">
        <v>1</v>
      </c>
      <c r="X637" s="1" t="s">
        <v>78</v>
      </c>
      <c r="Y637" s="1" t="s">
        <v>78</v>
      </c>
      <c r="Z637" s="1" t="s">
        <v>1073</v>
      </c>
      <c r="AB637" s="2">
        <v>0</v>
      </c>
      <c r="AF637" s="2" t="s">
        <v>862</v>
      </c>
    </row>
    <row r="638" spans="1:38" s="2" customFormat="1" hidden="1" x14ac:dyDescent="0.35">
      <c r="A638" s="2" t="s">
        <v>863</v>
      </c>
      <c r="B638" s="2" t="s">
        <v>1028</v>
      </c>
      <c r="C638" s="26"/>
      <c r="D638" s="26"/>
      <c r="E638" s="26"/>
      <c r="F638" s="26"/>
      <c r="G638" s="26"/>
      <c r="H638" s="10"/>
      <c r="I638" s="10"/>
      <c r="J638" s="10"/>
      <c r="K638" s="1"/>
      <c r="M638" s="10"/>
      <c r="Q638" s="10"/>
      <c r="S638" s="1"/>
      <c r="T638" s="1"/>
      <c r="U638" s="1"/>
      <c r="V638" s="1"/>
      <c r="W638" s="1"/>
      <c r="X638" s="1"/>
      <c r="Y638" s="1"/>
      <c r="Z638" s="1"/>
    </row>
    <row r="639" spans="1:38" s="10" customFormat="1" ht="17" x14ac:dyDescent="0.35">
      <c r="A639" s="10" t="s">
        <v>863</v>
      </c>
      <c r="B639" s="10" t="s">
        <v>1029</v>
      </c>
      <c r="C639" s="14" t="s">
        <v>99</v>
      </c>
      <c r="D639" s="10">
        <v>40</v>
      </c>
      <c r="E639" s="10" t="s">
        <v>1091</v>
      </c>
      <c r="F639" s="10" t="s">
        <v>1091</v>
      </c>
      <c r="G639" s="10" t="s">
        <v>53</v>
      </c>
      <c r="H639" s="10" t="s">
        <v>1078</v>
      </c>
      <c r="L639" s="10">
        <v>40</v>
      </c>
      <c r="M639" s="1"/>
      <c r="N639" s="10">
        <v>40</v>
      </c>
      <c r="O639" s="56"/>
      <c r="P639" s="1"/>
      <c r="Q639" s="59"/>
      <c r="T639" s="10">
        <v>1990</v>
      </c>
      <c r="U639" s="10">
        <v>2030</v>
      </c>
      <c r="V639" s="10">
        <v>0</v>
      </c>
      <c r="W639" s="10">
        <v>0</v>
      </c>
      <c r="X639" s="10" t="s">
        <v>51</v>
      </c>
      <c r="Y639" s="10" t="s">
        <v>51</v>
      </c>
      <c r="AB639" s="10">
        <v>1</v>
      </c>
      <c r="AC639" s="10">
        <v>2050</v>
      </c>
      <c r="AF639" s="10" t="s">
        <v>215</v>
      </c>
      <c r="AL639" s="10" t="s">
        <v>101</v>
      </c>
    </row>
    <row r="640" spans="1:38" s="10" customFormat="1" x14ac:dyDescent="0.35">
      <c r="A640" s="10" t="s">
        <v>863</v>
      </c>
      <c r="B640" s="10" t="s">
        <v>1030</v>
      </c>
      <c r="C640" s="10" t="s">
        <v>102</v>
      </c>
      <c r="D640" s="10" t="s">
        <v>342</v>
      </c>
      <c r="E640" s="10" t="s">
        <v>1091</v>
      </c>
      <c r="F640" s="10" t="s">
        <v>1091</v>
      </c>
      <c r="G640" s="10" t="s">
        <v>53</v>
      </c>
      <c r="H640" s="10" t="s">
        <v>1078</v>
      </c>
      <c r="L640" s="10" t="s">
        <v>342</v>
      </c>
      <c r="M640" s="1"/>
      <c r="N640" s="10" t="s">
        <v>342</v>
      </c>
      <c r="O640" s="56"/>
      <c r="P640" s="1"/>
      <c r="Q640" s="59"/>
      <c r="T640" s="10">
        <v>1990</v>
      </c>
      <c r="U640" s="10">
        <v>2030</v>
      </c>
      <c r="V640" s="10">
        <v>0</v>
      </c>
      <c r="W640" s="10">
        <v>0</v>
      </c>
      <c r="X640" s="10" t="s">
        <v>51</v>
      </c>
      <c r="Y640" s="10" t="s">
        <v>51</v>
      </c>
      <c r="AB640" s="10">
        <v>1</v>
      </c>
      <c r="AC640" s="10">
        <v>2050</v>
      </c>
      <c r="AF640" s="10" t="s">
        <v>215</v>
      </c>
      <c r="AL640" s="10" t="s">
        <v>343</v>
      </c>
    </row>
    <row r="641" spans="1:38" s="2" customFormat="1" hidden="1" x14ac:dyDescent="0.35">
      <c r="A641" s="2" t="s">
        <v>863</v>
      </c>
      <c r="B641" s="2" t="s">
        <v>1031</v>
      </c>
      <c r="C641" s="26"/>
      <c r="D641" s="26"/>
      <c r="E641" s="26"/>
      <c r="F641" s="26"/>
      <c r="G641" s="26"/>
      <c r="H641" s="10"/>
      <c r="I641" s="10"/>
      <c r="J641" s="10"/>
      <c r="K641" s="1"/>
      <c r="M641" s="10"/>
      <c r="Q641" s="10"/>
      <c r="S641" s="1"/>
      <c r="T641" s="1"/>
      <c r="U641" s="1"/>
      <c r="V641" s="1"/>
      <c r="W641" s="1"/>
      <c r="X641" s="1"/>
      <c r="Y641" s="1"/>
      <c r="Z641" s="1"/>
    </row>
    <row r="642" spans="1:38" s="2" customFormat="1" hidden="1" x14ac:dyDescent="0.35">
      <c r="A642" s="2" t="s">
        <v>864</v>
      </c>
      <c r="B642" s="2" t="s">
        <v>1028</v>
      </c>
      <c r="C642" s="26"/>
      <c r="D642" s="26"/>
      <c r="E642" s="26"/>
      <c r="F642" s="26"/>
      <c r="G642" s="26"/>
      <c r="H642" s="10"/>
      <c r="I642" s="10"/>
      <c r="J642" s="10"/>
      <c r="K642" s="1"/>
      <c r="M642" s="10"/>
      <c r="Q642" s="10"/>
      <c r="S642" s="1"/>
      <c r="T642" s="1"/>
      <c r="U642" s="1"/>
      <c r="V642" s="1"/>
      <c r="W642" s="1"/>
      <c r="X642" s="1"/>
      <c r="Y642" s="1"/>
      <c r="Z642" s="1"/>
    </row>
    <row r="643" spans="1:38" s="10" customFormat="1" x14ac:dyDescent="0.35">
      <c r="A643" s="10" t="s">
        <v>864</v>
      </c>
      <c r="B643" s="10" t="s">
        <v>1029</v>
      </c>
      <c r="C643" s="10" t="s">
        <v>865</v>
      </c>
      <c r="D643" s="10">
        <v>40</v>
      </c>
      <c r="E643" s="10" t="s">
        <v>1091</v>
      </c>
      <c r="F643" s="10" t="s">
        <v>1091</v>
      </c>
      <c r="G643" s="10" t="s">
        <v>53</v>
      </c>
      <c r="H643" s="10" t="s">
        <v>1078</v>
      </c>
      <c r="L643" s="10">
        <v>40</v>
      </c>
      <c r="M643" s="1"/>
      <c r="N643" s="10">
        <v>40</v>
      </c>
      <c r="O643" s="56"/>
      <c r="P643" s="1"/>
      <c r="Q643" s="59"/>
      <c r="T643" s="10">
        <v>1990</v>
      </c>
      <c r="U643" s="10">
        <v>2030</v>
      </c>
      <c r="V643" s="10">
        <v>0</v>
      </c>
      <c r="W643" s="10">
        <v>0</v>
      </c>
      <c r="X643" s="10" t="s">
        <v>51</v>
      </c>
      <c r="Y643" s="10" t="s">
        <v>51</v>
      </c>
      <c r="AB643" s="10">
        <v>1</v>
      </c>
      <c r="AC643" s="10">
        <v>2050</v>
      </c>
      <c r="AF643" s="10" t="s">
        <v>215</v>
      </c>
      <c r="AL643" s="10" t="s">
        <v>101</v>
      </c>
    </row>
    <row r="644" spans="1:38" s="10" customFormat="1" x14ac:dyDescent="0.35">
      <c r="A644" s="10" t="s">
        <v>864</v>
      </c>
      <c r="B644" s="10" t="s">
        <v>1030</v>
      </c>
      <c r="C644" s="10" t="s">
        <v>102</v>
      </c>
      <c r="D644" s="10" t="s">
        <v>342</v>
      </c>
      <c r="E644" s="10" t="s">
        <v>1091</v>
      </c>
      <c r="F644" s="10" t="s">
        <v>1091</v>
      </c>
      <c r="G644" s="10" t="s">
        <v>53</v>
      </c>
      <c r="H644" s="10" t="s">
        <v>1078</v>
      </c>
      <c r="L644" s="10" t="s">
        <v>342</v>
      </c>
      <c r="M644" s="1"/>
      <c r="N644" s="10" t="s">
        <v>342</v>
      </c>
      <c r="O644" s="56"/>
      <c r="P644" s="1"/>
      <c r="Q644" s="59"/>
      <c r="T644" s="10">
        <v>1990</v>
      </c>
      <c r="U644" s="10">
        <v>2030</v>
      </c>
      <c r="V644" s="10">
        <v>0</v>
      </c>
      <c r="W644" s="10">
        <v>0</v>
      </c>
      <c r="X644" s="10" t="s">
        <v>51</v>
      </c>
      <c r="Y644" s="10" t="s">
        <v>51</v>
      </c>
      <c r="AB644" s="10">
        <v>1</v>
      </c>
      <c r="AC644" s="10">
        <v>2050</v>
      </c>
      <c r="AF644" s="10" t="s">
        <v>215</v>
      </c>
      <c r="AL644" s="10" t="s">
        <v>343</v>
      </c>
    </row>
    <row r="645" spans="1:38" s="2" customFormat="1" hidden="1" x14ac:dyDescent="0.35">
      <c r="A645" s="2" t="s">
        <v>864</v>
      </c>
      <c r="B645" s="2" t="s">
        <v>1031</v>
      </c>
      <c r="C645" s="26"/>
      <c r="D645" s="26"/>
      <c r="E645" s="26"/>
      <c r="F645" s="26"/>
      <c r="G645" s="26"/>
      <c r="H645" s="10"/>
      <c r="I645" s="10"/>
      <c r="J645" s="10"/>
      <c r="K645" s="1"/>
      <c r="M645" s="10"/>
      <c r="Q645" s="10"/>
      <c r="S645" s="1"/>
      <c r="T645" s="1"/>
      <c r="U645" s="1"/>
      <c r="V645" s="1"/>
      <c r="W645" s="1"/>
      <c r="X645" s="1"/>
      <c r="Y645" s="1"/>
      <c r="Z645" s="1"/>
    </row>
    <row r="646" spans="1:38" s="2" customFormat="1" hidden="1" x14ac:dyDescent="0.35">
      <c r="A646" s="2" t="s">
        <v>866</v>
      </c>
      <c r="B646" s="2" t="s">
        <v>1028</v>
      </c>
      <c r="C646" s="26" t="s">
        <v>170</v>
      </c>
      <c r="D646" s="26">
        <v>30</v>
      </c>
      <c r="E646" s="26"/>
      <c r="F646" s="26"/>
      <c r="G646" s="26" t="s">
        <v>129</v>
      </c>
      <c r="H646" s="10"/>
      <c r="I646" s="10"/>
      <c r="J646" s="10"/>
      <c r="K646" s="1"/>
      <c r="L646" s="2">
        <v>30</v>
      </c>
      <c r="M646" s="10"/>
      <c r="Q646" s="10"/>
      <c r="R646" s="2">
        <v>12</v>
      </c>
      <c r="S646" s="1"/>
      <c r="T646" s="1">
        <v>2015</v>
      </c>
      <c r="U646" s="1">
        <v>2030</v>
      </c>
      <c r="V646" s="1">
        <v>1</v>
      </c>
      <c r="W646" s="1">
        <v>1</v>
      </c>
      <c r="X646" s="1" t="s">
        <v>51</v>
      </c>
      <c r="Y646" s="1" t="s">
        <v>51</v>
      </c>
      <c r="Z646" s="1"/>
      <c r="AA646" s="2">
        <v>2025</v>
      </c>
      <c r="AB646" s="2">
        <v>0</v>
      </c>
      <c r="AC646" s="2">
        <v>2050</v>
      </c>
      <c r="AD646" s="2">
        <v>50</v>
      </c>
      <c r="AF646" s="2" t="s">
        <v>867</v>
      </c>
    </row>
    <row r="647" spans="1:38" s="10" customFormat="1" x14ac:dyDescent="0.35">
      <c r="A647" s="10" t="s">
        <v>866</v>
      </c>
      <c r="B647" s="10" t="s">
        <v>1029</v>
      </c>
      <c r="C647" s="10" t="s">
        <v>655</v>
      </c>
      <c r="D647" s="10">
        <v>30</v>
      </c>
      <c r="E647" s="10" t="s">
        <v>1101</v>
      </c>
      <c r="F647" s="10" t="s">
        <v>1146</v>
      </c>
      <c r="G647" s="10" t="s">
        <v>129</v>
      </c>
      <c r="H647" s="10" t="s">
        <v>1077</v>
      </c>
      <c r="L647" s="10">
        <v>30</v>
      </c>
      <c r="M647" s="1"/>
      <c r="O647" s="56"/>
      <c r="P647" s="1"/>
      <c r="Q647" s="59"/>
      <c r="R647" s="10">
        <v>12</v>
      </c>
      <c r="T647" s="10">
        <v>2015</v>
      </c>
      <c r="U647" s="10">
        <v>2030</v>
      </c>
      <c r="V647" s="10">
        <v>1</v>
      </c>
      <c r="W647" s="10">
        <v>1</v>
      </c>
      <c r="X647" s="10" t="s">
        <v>51</v>
      </c>
      <c r="Y647" s="10" t="s">
        <v>51</v>
      </c>
      <c r="AA647" s="10">
        <v>2025</v>
      </c>
      <c r="AB647" s="10">
        <v>0</v>
      </c>
      <c r="AC647" s="10">
        <v>2050</v>
      </c>
      <c r="AD647" s="10">
        <v>50</v>
      </c>
      <c r="AF647" s="10" t="s">
        <v>867</v>
      </c>
    </row>
    <row r="648" spans="1:38" s="10" customFormat="1" x14ac:dyDescent="0.35">
      <c r="A648" s="10" t="s">
        <v>866</v>
      </c>
      <c r="B648" s="10" t="s">
        <v>1030</v>
      </c>
      <c r="C648" s="10" t="s">
        <v>868</v>
      </c>
      <c r="D648" s="10">
        <v>45</v>
      </c>
      <c r="E648" s="10" t="s">
        <v>1131</v>
      </c>
      <c r="F648" s="10" t="s">
        <v>1131</v>
      </c>
      <c r="G648" s="10" t="s">
        <v>129</v>
      </c>
      <c r="H648" s="10" t="s">
        <v>1077</v>
      </c>
      <c r="L648" s="10">
        <v>45</v>
      </c>
      <c r="M648" s="1"/>
      <c r="N648" s="10">
        <v>33</v>
      </c>
      <c r="O648" s="56"/>
      <c r="P648" s="1">
        <v>12</v>
      </c>
      <c r="Q648" s="59"/>
      <c r="R648" s="10">
        <v>27</v>
      </c>
      <c r="T648" s="10">
        <v>2015</v>
      </c>
      <c r="U648" s="10">
        <v>2030</v>
      </c>
      <c r="V648" s="10">
        <v>1</v>
      </c>
      <c r="W648" s="10">
        <v>1</v>
      </c>
      <c r="X648" s="10" t="s">
        <v>51</v>
      </c>
      <c r="Y648" s="10" t="s">
        <v>51</v>
      </c>
      <c r="AA648" s="10">
        <v>2025</v>
      </c>
      <c r="AB648" s="10">
        <v>1</v>
      </c>
      <c r="AC648" s="10">
        <v>2050</v>
      </c>
      <c r="AF648" s="10" t="s">
        <v>869</v>
      </c>
    </row>
    <row r="649" spans="1:38" s="2" customFormat="1" ht="17" hidden="1" x14ac:dyDescent="0.35">
      <c r="A649" s="2" t="s">
        <v>866</v>
      </c>
      <c r="B649" s="2" t="s">
        <v>1031</v>
      </c>
      <c r="C649" s="30" t="s">
        <v>1065</v>
      </c>
      <c r="D649" s="26">
        <v>17</v>
      </c>
      <c r="E649" s="26"/>
      <c r="F649" s="26"/>
      <c r="G649" s="26"/>
      <c r="H649" s="10" t="s">
        <v>1077</v>
      </c>
      <c r="I649" s="14"/>
      <c r="J649" s="14"/>
      <c r="K649" s="18"/>
      <c r="L649" s="2">
        <v>17</v>
      </c>
      <c r="M649" s="10"/>
      <c r="N649" s="2">
        <v>8</v>
      </c>
      <c r="P649" s="2">
        <v>9</v>
      </c>
      <c r="Q649" s="10"/>
      <c r="S649" s="1" t="s">
        <v>30</v>
      </c>
      <c r="T649" s="1"/>
      <c r="U649" s="1">
        <v>2030</v>
      </c>
      <c r="V649" s="1">
        <v>1</v>
      </c>
      <c r="W649" s="1">
        <v>1</v>
      </c>
      <c r="X649" s="1" t="s">
        <v>32</v>
      </c>
      <c r="Y649" s="1" t="s">
        <v>32</v>
      </c>
      <c r="Z649" s="1"/>
      <c r="AB649" s="2">
        <v>1</v>
      </c>
    </row>
    <row r="650" spans="1:38" s="2" customFormat="1" hidden="1" x14ac:dyDescent="0.35">
      <c r="A650" s="2" t="s">
        <v>870</v>
      </c>
      <c r="B650" s="2" t="s">
        <v>1028</v>
      </c>
      <c r="C650" s="26" t="s">
        <v>405</v>
      </c>
      <c r="D650" s="26"/>
      <c r="E650" s="26"/>
      <c r="F650" s="26"/>
      <c r="G650" s="26"/>
      <c r="I650" s="25" t="s">
        <v>1085</v>
      </c>
      <c r="V650" s="2">
        <v>0</v>
      </c>
      <c r="W650" s="2">
        <v>1</v>
      </c>
      <c r="AB650" s="2">
        <v>0</v>
      </c>
      <c r="AF650" s="2" t="s">
        <v>871</v>
      </c>
    </row>
    <row r="651" spans="1:38" s="10" customFormat="1" x14ac:dyDescent="0.35">
      <c r="A651" s="10" t="s">
        <v>870</v>
      </c>
      <c r="B651" s="10" t="s">
        <v>1029</v>
      </c>
      <c r="C651" s="10" t="s">
        <v>143</v>
      </c>
      <c r="M651" s="1"/>
      <c r="O651" s="56"/>
      <c r="P651" s="1"/>
      <c r="Q651" s="59"/>
      <c r="V651" s="10">
        <v>0</v>
      </c>
      <c r="W651" s="10">
        <v>1</v>
      </c>
      <c r="AB651" s="10">
        <v>0</v>
      </c>
      <c r="AF651" s="10" t="s">
        <v>871</v>
      </c>
    </row>
    <row r="652" spans="1:38" s="10" customFormat="1" x14ac:dyDescent="0.35">
      <c r="A652" s="10" t="s">
        <v>870</v>
      </c>
      <c r="B652" s="10" t="s">
        <v>1030</v>
      </c>
      <c r="C652" s="10" t="s">
        <v>611</v>
      </c>
      <c r="D652" s="10">
        <v>30</v>
      </c>
      <c r="E652" s="10" t="s">
        <v>1097</v>
      </c>
      <c r="F652" s="10" t="s">
        <v>1097</v>
      </c>
      <c r="G652" s="10" t="s">
        <v>53</v>
      </c>
      <c r="H652" s="10" t="s">
        <v>1076</v>
      </c>
      <c r="L652" s="10">
        <v>30</v>
      </c>
      <c r="M652" s="1"/>
      <c r="O652" s="56"/>
      <c r="P652" s="1">
        <v>30</v>
      </c>
      <c r="Q652" s="59"/>
      <c r="S652" s="10" t="s">
        <v>45</v>
      </c>
      <c r="U652" s="10">
        <v>2030</v>
      </c>
      <c r="V652" s="10">
        <v>1</v>
      </c>
      <c r="W652" s="10">
        <v>0</v>
      </c>
      <c r="X652" s="10" t="s">
        <v>32</v>
      </c>
      <c r="Y652" s="10" t="s">
        <v>32</v>
      </c>
      <c r="AB652" s="10">
        <v>0</v>
      </c>
      <c r="AF652" s="10" t="s">
        <v>872</v>
      </c>
      <c r="AJ652" s="10" t="s">
        <v>873</v>
      </c>
    </row>
    <row r="653" spans="1:38" s="2" customFormat="1" ht="17" hidden="1" x14ac:dyDescent="0.35">
      <c r="A653" s="2" t="s">
        <v>870</v>
      </c>
      <c r="B653" s="2" t="s">
        <v>1031</v>
      </c>
      <c r="C653" s="31">
        <v>45878</v>
      </c>
      <c r="D653" s="26">
        <v>34</v>
      </c>
      <c r="E653" s="26"/>
      <c r="F653" s="26"/>
      <c r="G653" s="26"/>
      <c r="H653" s="10" t="s">
        <v>1077</v>
      </c>
      <c r="I653" s="23"/>
      <c r="J653" s="23"/>
      <c r="K653" s="19"/>
      <c r="L653" s="2">
        <v>34</v>
      </c>
      <c r="M653" s="10"/>
      <c r="N653" s="2">
        <v>5</v>
      </c>
      <c r="P653" s="2">
        <v>29</v>
      </c>
      <c r="Q653" s="10"/>
      <c r="S653" s="1" t="s">
        <v>30</v>
      </c>
      <c r="T653" s="1"/>
      <c r="U653" s="1">
        <v>2035</v>
      </c>
      <c r="V653" s="1">
        <v>1</v>
      </c>
      <c r="W653" s="1">
        <v>1</v>
      </c>
      <c r="X653" s="1"/>
      <c r="Y653" s="1"/>
      <c r="Z653" s="1"/>
      <c r="AB653" s="2">
        <v>0</v>
      </c>
    </row>
    <row r="654" spans="1:38" s="2" customFormat="1" hidden="1" x14ac:dyDescent="0.35">
      <c r="A654" s="2" t="s">
        <v>874</v>
      </c>
      <c r="B654" s="2" t="s">
        <v>1028</v>
      </c>
      <c r="C654" s="26" t="s">
        <v>128</v>
      </c>
      <c r="D654" s="26"/>
      <c r="E654" s="26"/>
      <c r="F654" s="26"/>
      <c r="G654" s="26"/>
      <c r="H654" s="10" t="s">
        <v>1077</v>
      </c>
      <c r="I654" s="10"/>
      <c r="J654" s="10"/>
      <c r="K654" s="1"/>
      <c r="M654" s="10">
        <v>506000</v>
      </c>
      <c r="Q654" s="10"/>
      <c r="S654" s="1" t="s">
        <v>45</v>
      </c>
      <c r="T654" s="1"/>
      <c r="U654" s="1">
        <v>2030</v>
      </c>
      <c r="V654" s="1">
        <v>1</v>
      </c>
      <c r="W654" s="1">
        <v>1</v>
      </c>
      <c r="X654" s="1" t="s">
        <v>78</v>
      </c>
      <c r="Y654" s="1" t="s">
        <v>78</v>
      </c>
      <c r="Z654" s="1" t="s">
        <v>1073</v>
      </c>
      <c r="AB654" s="2">
        <v>0</v>
      </c>
      <c r="AF654" s="2" t="s">
        <v>875</v>
      </c>
    </row>
    <row r="655" spans="1:38" s="10" customFormat="1" ht="17" x14ac:dyDescent="0.35">
      <c r="A655" s="10" t="s">
        <v>874</v>
      </c>
      <c r="B655" s="10" t="s">
        <v>1029</v>
      </c>
      <c r="C655" s="33">
        <v>42380</v>
      </c>
      <c r="E655" s="10" t="s">
        <v>1174</v>
      </c>
      <c r="F655" s="10" t="s">
        <v>1148</v>
      </c>
      <c r="G655" s="10" t="s">
        <v>38</v>
      </c>
      <c r="H655" s="10" t="s">
        <v>1077</v>
      </c>
      <c r="M655" s="1">
        <v>506000</v>
      </c>
      <c r="O655" s="56"/>
      <c r="P655" s="1"/>
      <c r="Q655" s="59"/>
      <c r="S655" s="10" t="s">
        <v>45</v>
      </c>
      <c r="U655" s="10">
        <v>2030</v>
      </c>
      <c r="V655" s="10">
        <v>1</v>
      </c>
      <c r="W655" s="10">
        <v>1</v>
      </c>
      <c r="X655" s="10" t="s">
        <v>78</v>
      </c>
      <c r="Y655" s="10" t="s">
        <v>78</v>
      </c>
      <c r="Z655" s="10" t="s">
        <v>1073</v>
      </c>
      <c r="AB655" s="10">
        <v>0</v>
      </c>
      <c r="AF655" s="10" t="s">
        <v>875</v>
      </c>
      <c r="AJ655" s="10" t="s">
        <v>876</v>
      </c>
    </row>
    <row r="656" spans="1:38" s="10" customFormat="1" x14ac:dyDescent="0.35">
      <c r="A656" s="10" t="s">
        <v>874</v>
      </c>
      <c r="B656" s="10" t="s">
        <v>1030</v>
      </c>
      <c r="C656" s="10" t="s">
        <v>877</v>
      </c>
      <c r="E656" s="10" t="s">
        <v>1174</v>
      </c>
      <c r="F656" s="10" t="s">
        <v>1097</v>
      </c>
      <c r="G656" s="10" t="s">
        <v>53</v>
      </c>
      <c r="H656" s="10" t="s">
        <v>1077</v>
      </c>
      <c r="M656" s="1">
        <v>385000</v>
      </c>
      <c r="O656" s="56"/>
      <c r="P656" s="1"/>
      <c r="Q656" s="59"/>
      <c r="R656" s="10" t="s">
        <v>878</v>
      </c>
      <c r="S656" s="10" t="s">
        <v>45</v>
      </c>
      <c r="U656" s="10">
        <v>2030</v>
      </c>
      <c r="V656" s="10">
        <v>1</v>
      </c>
      <c r="W656" s="10">
        <v>1</v>
      </c>
      <c r="X656" s="10" t="s">
        <v>78</v>
      </c>
      <c r="Y656" s="10" t="s">
        <v>78</v>
      </c>
      <c r="Z656" s="10" t="s">
        <v>1073</v>
      </c>
      <c r="AA656" s="10">
        <v>2025</v>
      </c>
      <c r="AB656" s="10">
        <v>0</v>
      </c>
      <c r="AF656" s="10" t="s">
        <v>135</v>
      </c>
      <c r="AJ656" s="10" t="s">
        <v>879</v>
      </c>
    </row>
    <row r="657" spans="1:38" s="2" customFormat="1" ht="17" hidden="1" x14ac:dyDescent="0.35">
      <c r="A657" s="2" t="s">
        <v>874</v>
      </c>
      <c r="B657" s="2" t="s">
        <v>1031</v>
      </c>
      <c r="C657" s="30" t="s">
        <v>1053</v>
      </c>
      <c r="D657" s="26"/>
      <c r="E657" s="26"/>
      <c r="F657" s="26"/>
      <c r="G657" s="26"/>
      <c r="H657" s="10" t="s">
        <v>1077</v>
      </c>
      <c r="I657" s="14"/>
      <c r="J657" s="14"/>
      <c r="K657" s="18"/>
      <c r="M657" s="10">
        <v>350000</v>
      </c>
      <c r="Q657" s="10"/>
      <c r="S657" s="1" t="s">
        <v>30</v>
      </c>
      <c r="T657" s="1"/>
      <c r="U657" s="1">
        <v>2030</v>
      </c>
      <c r="V657" s="1">
        <v>1</v>
      </c>
      <c r="W657" s="1">
        <v>1</v>
      </c>
      <c r="X657" s="1" t="s">
        <v>78</v>
      </c>
      <c r="Y657" s="1" t="s">
        <v>78</v>
      </c>
      <c r="Z657" s="1" t="s">
        <v>1073</v>
      </c>
      <c r="AB657" s="2">
        <v>0</v>
      </c>
    </row>
    <row r="658" spans="1:38" s="2" customFormat="1" hidden="1" x14ac:dyDescent="0.35">
      <c r="A658" s="2" t="s">
        <v>880</v>
      </c>
      <c r="B658" s="2" t="s">
        <v>1028</v>
      </c>
      <c r="C658" s="26" t="s">
        <v>504</v>
      </c>
      <c r="D658" s="26" t="s">
        <v>881</v>
      </c>
      <c r="E658" s="26"/>
      <c r="F658" s="26"/>
      <c r="G658" s="26"/>
      <c r="H658" s="2" t="s">
        <v>1078</v>
      </c>
      <c r="I658" s="10"/>
      <c r="J658" s="10"/>
      <c r="K658" s="1"/>
      <c r="L658" s="2" t="s">
        <v>881</v>
      </c>
      <c r="M658" s="10"/>
      <c r="N658" s="2" t="s">
        <v>881</v>
      </c>
      <c r="Q658" s="10"/>
      <c r="S658" s="1" t="s">
        <v>45</v>
      </c>
      <c r="T658" s="1"/>
      <c r="U658" s="1">
        <v>2030</v>
      </c>
      <c r="V658" s="1">
        <v>0</v>
      </c>
      <c r="W658" s="1">
        <v>1</v>
      </c>
      <c r="X658" s="1" t="s">
        <v>32</v>
      </c>
      <c r="Y658" s="1" t="s">
        <v>32</v>
      </c>
      <c r="Z658" s="1"/>
      <c r="AB658" s="2">
        <v>0</v>
      </c>
      <c r="AF658" s="2" t="s">
        <v>882</v>
      </c>
    </row>
    <row r="659" spans="1:38" s="10" customFormat="1" ht="17" x14ac:dyDescent="0.35">
      <c r="A659" s="10" t="s">
        <v>880</v>
      </c>
      <c r="B659" s="10" t="s">
        <v>1029</v>
      </c>
      <c r="C659" s="33">
        <v>42440</v>
      </c>
      <c r="D659" s="10" t="s">
        <v>881</v>
      </c>
      <c r="E659" s="10" t="s">
        <v>1091</v>
      </c>
      <c r="F659" s="10" t="s">
        <v>1091</v>
      </c>
      <c r="G659" s="10" t="s">
        <v>38</v>
      </c>
      <c r="H659" s="10" t="s">
        <v>1078</v>
      </c>
      <c r="L659" s="10" t="s">
        <v>881</v>
      </c>
      <c r="M659" s="1"/>
      <c r="N659" s="10" t="s">
        <v>881</v>
      </c>
      <c r="O659" s="56"/>
      <c r="P659" s="1"/>
      <c r="Q659" s="59"/>
      <c r="S659" s="10" t="s">
        <v>45</v>
      </c>
      <c r="U659" s="10">
        <v>2030</v>
      </c>
      <c r="V659" s="10">
        <v>0</v>
      </c>
      <c r="W659" s="10">
        <v>1</v>
      </c>
      <c r="X659" s="10" t="s">
        <v>32</v>
      </c>
      <c r="Y659" s="10" t="s">
        <v>32</v>
      </c>
      <c r="AB659" s="10">
        <v>0</v>
      </c>
      <c r="AF659" s="10" t="s">
        <v>882</v>
      </c>
    </row>
    <row r="660" spans="1:38" s="10" customFormat="1" x14ac:dyDescent="0.35">
      <c r="A660" s="10" t="s">
        <v>880</v>
      </c>
      <c r="B660" s="10" t="s">
        <v>1030</v>
      </c>
      <c r="C660" s="10" t="s">
        <v>883</v>
      </c>
      <c r="D660" s="10">
        <v>40</v>
      </c>
      <c r="E660" s="10" t="s">
        <v>1091</v>
      </c>
      <c r="F660" s="10" t="s">
        <v>1091</v>
      </c>
      <c r="G660" s="10" t="s">
        <v>53</v>
      </c>
      <c r="H660" s="10" t="s">
        <v>1078</v>
      </c>
      <c r="L660" s="10">
        <v>40</v>
      </c>
      <c r="M660" s="1"/>
      <c r="N660" s="10">
        <v>40</v>
      </c>
      <c r="O660" s="56"/>
      <c r="P660" s="1"/>
      <c r="Q660" s="59"/>
      <c r="T660" s="10">
        <v>2018</v>
      </c>
      <c r="U660" s="10">
        <v>2030</v>
      </c>
      <c r="V660" s="10">
        <v>0</v>
      </c>
      <c r="W660" s="10">
        <v>1</v>
      </c>
      <c r="X660" s="10" t="s">
        <v>51</v>
      </c>
      <c r="Y660" s="10" t="s">
        <v>51</v>
      </c>
      <c r="AB660" s="10">
        <v>1</v>
      </c>
      <c r="AC660" s="10">
        <v>2050</v>
      </c>
      <c r="AF660" s="10" t="s">
        <v>882</v>
      </c>
    </row>
    <row r="661" spans="1:38" s="2" customFormat="1" ht="17" hidden="1" x14ac:dyDescent="0.35">
      <c r="A661" s="2" t="s">
        <v>880</v>
      </c>
      <c r="B661" s="2" t="s">
        <v>1031</v>
      </c>
      <c r="C661" s="30" t="s">
        <v>1066</v>
      </c>
      <c r="D661" s="26">
        <v>57</v>
      </c>
      <c r="E661" s="26"/>
      <c r="F661" s="26"/>
      <c r="G661" s="26"/>
      <c r="H661" s="2" t="s">
        <v>1078</v>
      </c>
      <c r="I661" s="14"/>
      <c r="J661" s="14"/>
      <c r="K661" s="18"/>
      <c r="L661" s="2">
        <v>57</v>
      </c>
      <c r="M661" s="10"/>
      <c r="N661" s="2">
        <v>57</v>
      </c>
      <c r="Q661" s="10"/>
      <c r="S661" s="1"/>
      <c r="T661" s="1">
        <v>2018</v>
      </c>
      <c r="U661" s="1">
        <v>2035</v>
      </c>
      <c r="V661" s="1">
        <v>0</v>
      </c>
      <c r="W661" s="1">
        <v>1</v>
      </c>
      <c r="X661" s="1" t="s">
        <v>51</v>
      </c>
      <c r="Y661" s="1" t="s">
        <v>51</v>
      </c>
      <c r="Z661" s="1"/>
      <c r="AB661" s="2">
        <v>1</v>
      </c>
    </row>
    <row r="662" spans="1:38" s="2" customFormat="1" hidden="1" x14ac:dyDescent="0.35">
      <c r="A662" s="2" t="s">
        <v>884</v>
      </c>
      <c r="B662" s="2" t="s">
        <v>1028</v>
      </c>
      <c r="C662" s="26" t="s">
        <v>830</v>
      </c>
      <c r="D662" s="26"/>
      <c r="E662" s="26"/>
      <c r="F662" s="26"/>
      <c r="G662" s="26"/>
      <c r="H662" s="10"/>
      <c r="I662" s="10"/>
      <c r="J662" s="10"/>
      <c r="K662" s="1"/>
      <c r="M662" s="10"/>
      <c r="Q662" s="10"/>
      <c r="S662" s="1"/>
      <c r="T662" s="1"/>
      <c r="U662" s="1"/>
      <c r="V662" s="1">
        <v>1</v>
      </c>
      <c r="W662" s="1">
        <v>1</v>
      </c>
      <c r="X662" s="1"/>
      <c r="Y662" s="1"/>
      <c r="Z662" s="1"/>
      <c r="AB662" s="2">
        <v>0</v>
      </c>
      <c r="AF662" s="2" t="s">
        <v>885</v>
      </c>
    </row>
    <row r="663" spans="1:38" s="46" customFormat="1" x14ac:dyDescent="0.35">
      <c r="A663" s="46" t="s">
        <v>884</v>
      </c>
      <c r="B663" s="46" t="s">
        <v>1029</v>
      </c>
      <c r="C663" s="46" t="s">
        <v>886</v>
      </c>
      <c r="I663" s="48" t="s">
        <v>1085</v>
      </c>
      <c r="M663" s="51"/>
      <c r="O663" s="57"/>
      <c r="P663" s="51"/>
      <c r="Q663" s="60"/>
      <c r="V663" s="46">
        <v>1</v>
      </c>
      <c r="W663" s="46">
        <v>1</v>
      </c>
      <c r="AB663" s="46">
        <v>0</v>
      </c>
      <c r="AF663" s="46" t="s">
        <v>885</v>
      </c>
    </row>
    <row r="664" spans="1:38" s="46" customFormat="1" x14ac:dyDescent="0.35">
      <c r="A664" s="46" t="s">
        <v>884</v>
      </c>
      <c r="B664" s="46" t="s">
        <v>1030</v>
      </c>
      <c r="C664" s="46" t="s">
        <v>887</v>
      </c>
      <c r="I664" s="48" t="s">
        <v>1085</v>
      </c>
      <c r="M664" s="51"/>
      <c r="O664" s="57"/>
      <c r="P664" s="51"/>
      <c r="Q664" s="60"/>
      <c r="V664" s="46">
        <v>1</v>
      </c>
      <c r="W664" s="46">
        <v>1</v>
      </c>
      <c r="AB664" s="46">
        <v>0</v>
      </c>
      <c r="AF664" s="46" t="s">
        <v>888</v>
      </c>
    </row>
    <row r="665" spans="1:38" s="2" customFormat="1" hidden="1" x14ac:dyDescent="0.35">
      <c r="A665" s="2" t="s">
        <v>884</v>
      </c>
      <c r="B665" s="2" t="s">
        <v>1031</v>
      </c>
      <c r="C665" s="26"/>
      <c r="D665" s="26"/>
      <c r="E665" s="26"/>
      <c r="F665" s="26"/>
      <c r="G665" s="26"/>
      <c r="H665" s="10"/>
      <c r="I665" s="10"/>
      <c r="J665" s="10"/>
      <c r="K665" s="1"/>
      <c r="M665" s="10"/>
      <c r="Q665" s="10"/>
      <c r="S665" s="1"/>
      <c r="T665" s="1"/>
      <c r="U665" s="1"/>
      <c r="V665" s="1"/>
      <c r="W665" s="1"/>
      <c r="X665" s="1"/>
      <c r="Y665" s="1"/>
      <c r="Z665" s="1"/>
    </row>
    <row r="666" spans="1:38" s="2" customFormat="1" hidden="1" x14ac:dyDescent="0.35">
      <c r="A666" s="2" t="s">
        <v>889</v>
      </c>
      <c r="B666" s="2" t="s">
        <v>1028</v>
      </c>
      <c r="C666" s="26"/>
      <c r="D666" s="26"/>
      <c r="E666" s="26"/>
      <c r="F666" s="26"/>
      <c r="G666" s="26"/>
      <c r="H666" s="10"/>
      <c r="I666" s="10"/>
      <c r="J666" s="10"/>
      <c r="K666" s="1"/>
      <c r="M666" s="10"/>
      <c r="Q666" s="10"/>
      <c r="S666" s="1"/>
      <c r="T666" s="1"/>
      <c r="U666" s="1"/>
      <c r="V666" s="1"/>
      <c r="W666" s="1"/>
      <c r="X666" s="1"/>
      <c r="Y666" s="1"/>
      <c r="Z666" s="1"/>
    </row>
    <row r="667" spans="1:38" s="10" customFormat="1" ht="17" x14ac:dyDescent="0.35">
      <c r="A667" s="10" t="s">
        <v>889</v>
      </c>
      <c r="B667" s="10" t="s">
        <v>1029</v>
      </c>
      <c r="C667" s="23">
        <v>43070</v>
      </c>
      <c r="D667" s="10">
        <v>40</v>
      </c>
      <c r="E667" s="10" t="s">
        <v>1091</v>
      </c>
      <c r="F667" s="10" t="s">
        <v>1091</v>
      </c>
      <c r="G667" s="10" t="s">
        <v>53</v>
      </c>
      <c r="H667" s="10" t="s">
        <v>1078</v>
      </c>
      <c r="L667" s="10">
        <v>40</v>
      </c>
      <c r="M667" s="1"/>
      <c r="N667" s="10">
        <v>40</v>
      </c>
      <c r="O667" s="56"/>
      <c r="P667" s="1"/>
      <c r="Q667" s="59"/>
      <c r="T667" s="10">
        <v>1990</v>
      </c>
      <c r="U667" s="10">
        <v>2030</v>
      </c>
      <c r="V667" s="10">
        <v>0</v>
      </c>
      <c r="W667" s="10">
        <v>0</v>
      </c>
      <c r="X667" s="10" t="s">
        <v>51</v>
      </c>
      <c r="Y667" s="10" t="s">
        <v>51</v>
      </c>
      <c r="AB667" s="10">
        <v>1</v>
      </c>
      <c r="AC667" s="10">
        <v>2050</v>
      </c>
      <c r="AF667" s="10" t="s">
        <v>215</v>
      </c>
      <c r="AL667" s="10" t="s">
        <v>101</v>
      </c>
    </row>
    <row r="668" spans="1:38" s="10" customFormat="1" x14ac:dyDescent="0.35">
      <c r="A668" s="10" t="s">
        <v>889</v>
      </c>
      <c r="B668" s="10" t="s">
        <v>1030</v>
      </c>
      <c r="C668" s="10" t="s">
        <v>102</v>
      </c>
      <c r="D668" s="10" t="s">
        <v>342</v>
      </c>
      <c r="E668" s="10" t="s">
        <v>1091</v>
      </c>
      <c r="F668" s="10" t="s">
        <v>1091</v>
      </c>
      <c r="G668" s="10" t="s">
        <v>53</v>
      </c>
      <c r="H668" s="10" t="s">
        <v>1078</v>
      </c>
      <c r="L668" s="10" t="s">
        <v>342</v>
      </c>
      <c r="M668" s="1"/>
      <c r="N668" s="10" t="s">
        <v>342</v>
      </c>
      <c r="O668" s="56"/>
      <c r="P668" s="1"/>
      <c r="Q668" s="59"/>
      <c r="T668" s="10">
        <v>1990</v>
      </c>
      <c r="U668" s="10">
        <v>2030</v>
      </c>
      <c r="V668" s="10">
        <v>0</v>
      </c>
      <c r="W668" s="10">
        <v>0</v>
      </c>
      <c r="X668" s="10" t="s">
        <v>51</v>
      </c>
      <c r="Y668" s="10" t="s">
        <v>51</v>
      </c>
      <c r="AB668" s="10">
        <v>1</v>
      </c>
      <c r="AC668" s="10">
        <v>2050</v>
      </c>
      <c r="AF668" s="10" t="s">
        <v>215</v>
      </c>
      <c r="AL668" s="10" t="s">
        <v>343</v>
      </c>
    </row>
    <row r="669" spans="1:38" s="2" customFormat="1" hidden="1" x14ac:dyDescent="0.35">
      <c r="A669" s="2" t="s">
        <v>889</v>
      </c>
      <c r="B669" s="2" t="s">
        <v>1031</v>
      </c>
      <c r="C669" s="26"/>
      <c r="D669" s="26"/>
      <c r="E669" s="26"/>
      <c r="F669" s="26"/>
      <c r="G669" s="26"/>
      <c r="H669" s="10"/>
      <c r="I669" s="10"/>
      <c r="J669" s="10"/>
      <c r="K669" s="1"/>
      <c r="M669" s="10"/>
      <c r="Q669" s="10"/>
      <c r="S669" s="1"/>
      <c r="T669" s="1"/>
      <c r="U669" s="1"/>
      <c r="V669" s="1"/>
      <c r="W669" s="1"/>
      <c r="X669" s="1"/>
      <c r="Y669" s="1"/>
      <c r="Z669" s="1"/>
    </row>
    <row r="670" spans="1:38" s="2" customFormat="1" hidden="1" x14ac:dyDescent="0.35">
      <c r="A670" s="2" t="s">
        <v>890</v>
      </c>
      <c r="B670" s="2" t="s">
        <v>1028</v>
      </c>
      <c r="C670" s="26" t="s">
        <v>891</v>
      </c>
      <c r="D670" s="26">
        <v>23</v>
      </c>
      <c r="E670" s="26"/>
      <c r="F670" s="26"/>
      <c r="G670" s="26" t="s">
        <v>53</v>
      </c>
      <c r="H670" s="10" t="s">
        <v>1077</v>
      </c>
      <c r="I670" s="10"/>
      <c r="J670" s="10"/>
      <c r="K670" s="1"/>
      <c r="L670" s="2">
        <v>23</v>
      </c>
      <c r="M670" s="10"/>
      <c r="N670" s="2">
        <v>7</v>
      </c>
      <c r="P670" s="2">
        <v>16</v>
      </c>
      <c r="Q670" s="10"/>
      <c r="S670" s="1" t="s">
        <v>45</v>
      </c>
      <c r="T670" s="1"/>
      <c r="U670" s="1">
        <v>2030</v>
      </c>
      <c r="V670" s="1">
        <v>1</v>
      </c>
      <c r="W670" s="1">
        <v>1</v>
      </c>
      <c r="X670" s="1" t="s">
        <v>32</v>
      </c>
      <c r="Y670" s="1" t="s">
        <v>32</v>
      </c>
      <c r="Z670" s="1"/>
      <c r="AB670" s="2">
        <v>0</v>
      </c>
      <c r="AF670" s="2" t="s">
        <v>892</v>
      </c>
    </row>
    <row r="671" spans="1:38" s="10" customFormat="1" ht="17" x14ac:dyDescent="0.35">
      <c r="A671" s="10" t="s">
        <v>890</v>
      </c>
      <c r="B671" s="10" t="s">
        <v>1029</v>
      </c>
      <c r="C671" s="14" t="s">
        <v>1177</v>
      </c>
      <c r="D671" s="10">
        <v>15</v>
      </c>
      <c r="E671" s="10" t="s">
        <v>1175</v>
      </c>
      <c r="F671" s="10" t="s">
        <v>1168</v>
      </c>
      <c r="G671" s="10" t="s">
        <v>53</v>
      </c>
      <c r="H671" s="10" t="s">
        <v>1077</v>
      </c>
      <c r="L671" s="10">
        <v>15</v>
      </c>
      <c r="M671" s="1"/>
      <c r="N671" s="10">
        <v>3.5</v>
      </c>
      <c r="O671" s="56"/>
      <c r="P671" s="1">
        <v>11.5</v>
      </c>
      <c r="Q671" s="59"/>
      <c r="S671" s="10" t="s">
        <v>45</v>
      </c>
      <c r="U671" s="10">
        <v>2030</v>
      </c>
      <c r="V671" s="10">
        <v>1</v>
      </c>
      <c r="W671" s="10">
        <v>1</v>
      </c>
      <c r="X671" s="10" t="s">
        <v>32</v>
      </c>
      <c r="Y671" s="10" t="s">
        <v>32</v>
      </c>
      <c r="AB671" s="10">
        <v>0</v>
      </c>
      <c r="AF671" s="10" t="s">
        <v>892</v>
      </c>
    </row>
    <row r="672" spans="1:38" s="10" customFormat="1" x14ac:dyDescent="0.35">
      <c r="A672" s="10" t="s">
        <v>890</v>
      </c>
      <c r="B672" s="10" t="s">
        <v>1030</v>
      </c>
      <c r="C672" s="10" t="s">
        <v>144</v>
      </c>
      <c r="D672" s="10">
        <v>14.5</v>
      </c>
      <c r="E672" s="10" t="s">
        <v>1176</v>
      </c>
      <c r="F672" s="10" t="s">
        <v>1168</v>
      </c>
      <c r="G672" s="10" t="s">
        <v>53</v>
      </c>
      <c r="H672" s="10" t="s">
        <v>1077</v>
      </c>
      <c r="L672" s="10">
        <v>14.5</v>
      </c>
      <c r="M672" s="1"/>
      <c r="N672" s="10">
        <v>14.5</v>
      </c>
      <c r="O672" s="56"/>
      <c r="P672" s="1">
        <v>14.5</v>
      </c>
      <c r="Q672" s="59"/>
      <c r="S672" s="10" t="s">
        <v>45</v>
      </c>
      <c r="U672" s="10">
        <v>2030</v>
      </c>
      <c r="V672" s="10">
        <v>1</v>
      </c>
      <c r="W672" s="10">
        <v>1</v>
      </c>
      <c r="X672" s="10" t="s">
        <v>32</v>
      </c>
      <c r="Y672" s="10" t="s">
        <v>32</v>
      </c>
      <c r="AB672" s="10">
        <v>1</v>
      </c>
      <c r="AC672" s="10">
        <v>2050</v>
      </c>
      <c r="AF672" s="10" t="s">
        <v>893</v>
      </c>
    </row>
    <row r="673" spans="1:38" s="2" customFormat="1" ht="17.5" hidden="1" x14ac:dyDescent="0.35">
      <c r="A673" s="2" t="s">
        <v>890</v>
      </c>
      <c r="B673" s="2" t="s">
        <v>1031</v>
      </c>
      <c r="C673" s="26"/>
      <c r="D673" s="29" t="s">
        <v>1067</v>
      </c>
      <c r="E673" s="29"/>
      <c r="F673" s="29"/>
      <c r="G673" s="26"/>
      <c r="H673" s="10" t="s">
        <v>1077</v>
      </c>
      <c r="I673" s="10"/>
      <c r="J673" s="10"/>
      <c r="K673" s="1"/>
      <c r="L673" s="4" t="s">
        <v>1067</v>
      </c>
      <c r="M673" s="10"/>
      <c r="N673" s="4">
        <v>8.11</v>
      </c>
      <c r="P673" s="4">
        <v>11.98</v>
      </c>
      <c r="Q673" s="10"/>
      <c r="S673" s="1" t="s">
        <v>30</v>
      </c>
      <c r="T673" s="1"/>
      <c r="U673" s="1">
        <v>2035</v>
      </c>
      <c r="V673" s="1">
        <v>1</v>
      </c>
      <c r="W673" s="1">
        <v>1</v>
      </c>
      <c r="X673" s="1" t="s">
        <v>32</v>
      </c>
      <c r="Y673" s="1" t="s">
        <v>32</v>
      </c>
      <c r="Z673" s="1"/>
      <c r="AB673" s="2">
        <v>0</v>
      </c>
    </row>
    <row r="674" spans="1:38" s="2" customFormat="1" hidden="1" x14ac:dyDescent="0.35">
      <c r="A674" s="2" t="s">
        <v>894</v>
      </c>
      <c r="B674" s="2" t="s">
        <v>1028</v>
      </c>
      <c r="C674" s="26">
        <v>42288</v>
      </c>
      <c r="D674" s="26"/>
      <c r="E674" s="26"/>
      <c r="F674" s="26"/>
      <c r="G674" s="26"/>
      <c r="H674" s="10"/>
      <c r="I674" s="10"/>
      <c r="J674" s="10"/>
      <c r="K674" s="1"/>
      <c r="M674" s="10"/>
      <c r="Q674" s="10"/>
      <c r="S674" s="1"/>
      <c r="T674" s="1"/>
      <c r="U674" s="1"/>
      <c r="V674" s="1">
        <v>1</v>
      </c>
      <c r="W674" s="1">
        <v>1</v>
      </c>
      <c r="X674" s="1"/>
      <c r="Y674" s="1"/>
      <c r="Z674" s="1"/>
      <c r="AB674" s="2">
        <v>0</v>
      </c>
      <c r="AF674" s="2" t="s">
        <v>895</v>
      </c>
    </row>
    <row r="675" spans="1:38" s="10" customFormat="1" x14ac:dyDescent="0.35">
      <c r="A675" s="10" t="s">
        <v>894</v>
      </c>
      <c r="B675" s="10" t="s">
        <v>1029</v>
      </c>
      <c r="C675" s="10">
        <v>42774</v>
      </c>
      <c r="I675" s="22" t="s">
        <v>1085</v>
      </c>
      <c r="M675" s="1"/>
      <c r="O675" s="56"/>
      <c r="P675" s="1"/>
      <c r="Q675" s="59"/>
      <c r="V675" s="10">
        <v>1</v>
      </c>
      <c r="W675" s="10">
        <v>1</v>
      </c>
      <c r="AB675" s="10">
        <v>0</v>
      </c>
      <c r="AF675" s="10" t="s">
        <v>895</v>
      </c>
    </row>
    <row r="676" spans="1:38" s="10" customFormat="1" x14ac:dyDescent="0.35">
      <c r="A676" s="10" t="s">
        <v>894</v>
      </c>
      <c r="B676" s="10" t="s">
        <v>1030</v>
      </c>
      <c r="C676" s="10" t="s">
        <v>896</v>
      </c>
      <c r="E676" s="10" t="s">
        <v>1178</v>
      </c>
      <c r="F676" s="10" t="s">
        <v>1159</v>
      </c>
      <c r="G676" s="10" t="s">
        <v>53</v>
      </c>
      <c r="H676" s="10" t="s">
        <v>1077</v>
      </c>
      <c r="M676" s="1">
        <v>27121.076000000001</v>
      </c>
      <c r="O676" s="56"/>
      <c r="P676" s="1"/>
      <c r="Q676" s="59"/>
      <c r="S676" s="10" t="s">
        <v>45</v>
      </c>
      <c r="U676" s="10">
        <v>2030</v>
      </c>
      <c r="V676" s="10">
        <v>1</v>
      </c>
      <c r="W676" s="10">
        <v>1</v>
      </c>
      <c r="X676" s="10" t="s">
        <v>32</v>
      </c>
      <c r="Y676" s="10" t="s">
        <v>32</v>
      </c>
      <c r="AB676" s="10">
        <v>0</v>
      </c>
      <c r="AF676" s="10" t="s">
        <v>897</v>
      </c>
    </row>
    <row r="677" spans="1:38" s="2" customFormat="1" hidden="1" x14ac:dyDescent="0.35">
      <c r="A677" s="2" t="s">
        <v>894</v>
      </c>
      <c r="B677" s="2" t="s">
        <v>1031</v>
      </c>
      <c r="C677" s="26"/>
      <c r="D677" s="26"/>
      <c r="E677" s="26"/>
      <c r="F677" s="26"/>
      <c r="G677" s="26"/>
      <c r="H677" s="10"/>
      <c r="I677" s="10"/>
      <c r="J677" s="10"/>
      <c r="K677" s="1"/>
      <c r="M677" s="10"/>
      <c r="Q677" s="10"/>
      <c r="S677" s="1"/>
      <c r="T677" s="1"/>
      <c r="U677" s="1"/>
      <c r="V677" s="1"/>
      <c r="W677" s="1"/>
      <c r="X677" s="1"/>
      <c r="Y677" s="1"/>
      <c r="Z677" s="1"/>
    </row>
    <row r="678" spans="1:38" s="2" customFormat="1" hidden="1" x14ac:dyDescent="0.35">
      <c r="A678" s="2" t="s">
        <v>898</v>
      </c>
      <c r="B678" s="2" t="s">
        <v>1028</v>
      </c>
      <c r="C678" s="26" t="s">
        <v>899</v>
      </c>
      <c r="D678" s="26"/>
      <c r="E678" s="26"/>
      <c r="F678" s="26"/>
      <c r="G678" s="26"/>
      <c r="H678" s="10"/>
      <c r="I678" s="10"/>
      <c r="J678" s="10"/>
      <c r="K678" s="1"/>
      <c r="M678" s="10"/>
      <c r="Q678" s="10"/>
      <c r="S678" s="1"/>
      <c r="T678" s="1"/>
      <c r="U678" s="1"/>
      <c r="V678" s="1">
        <v>1</v>
      </c>
      <c r="W678" s="1">
        <v>1</v>
      </c>
      <c r="X678" s="1"/>
      <c r="Y678" s="1"/>
      <c r="Z678" s="1"/>
      <c r="AB678" s="2">
        <v>0</v>
      </c>
      <c r="AF678" s="2" t="s">
        <v>900</v>
      </c>
    </row>
    <row r="679" spans="1:38" s="46" customFormat="1" x14ac:dyDescent="0.35">
      <c r="A679" s="46" t="s">
        <v>898</v>
      </c>
      <c r="B679" s="46" t="s">
        <v>1029</v>
      </c>
      <c r="C679" s="46" t="s">
        <v>901</v>
      </c>
      <c r="I679" s="48" t="s">
        <v>1085</v>
      </c>
      <c r="M679" s="51"/>
      <c r="O679" s="57"/>
      <c r="P679" s="51"/>
      <c r="Q679" s="60"/>
      <c r="V679" s="46">
        <v>1</v>
      </c>
      <c r="W679" s="46">
        <v>1</v>
      </c>
      <c r="AB679" s="46">
        <v>0</v>
      </c>
      <c r="AF679" s="46" t="s">
        <v>900</v>
      </c>
    </row>
    <row r="680" spans="1:38" s="46" customFormat="1" x14ac:dyDescent="0.35">
      <c r="A680" s="46" t="s">
        <v>898</v>
      </c>
      <c r="B680" s="46" t="s">
        <v>1030</v>
      </c>
      <c r="C680" s="46">
        <v>43720</v>
      </c>
      <c r="I680" s="48" t="s">
        <v>1085</v>
      </c>
      <c r="M680" s="51"/>
      <c r="O680" s="57"/>
      <c r="P680" s="51"/>
      <c r="Q680" s="60"/>
      <c r="V680" s="46">
        <v>1</v>
      </c>
      <c r="W680" s="46">
        <v>1</v>
      </c>
      <c r="AB680" s="46">
        <v>0</v>
      </c>
      <c r="AF680" s="46" t="s">
        <v>900</v>
      </c>
    </row>
    <row r="681" spans="1:38" s="2" customFormat="1" hidden="1" x14ac:dyDescent="0.35">
      <c r="A681" s="2" t="s">
        <v>898</v>
      </c>
      <c r="B681" s="2" t="s">
        <v>1031</v>
      </c>
      <c r="C681" s="26"/>
      <c r="D681" s="26"/>
      <c r="E681" s="26"/>
      <c r="F681" s="26"/>
      <c r="G681" s="26"/>
      <c r="H681" s="10"/>
      <c r="I681" s="10"/>
      <c r="J681" s="10"/>
      <c r="K681" s="1"/>
      <c r="M681" s="10"/>
      <c r="Q681" s="10"/>
      <c r="S681" s="1"/>
      <c r="T681" s="1"/>
      <c r="U681" s="1"/>
      <c r="V681" s="1"/>
      <c r="W681" s="1"/>
      <c r="X681" s="1"/>
      <c r="Y681" s="1"/>
      <c r="Z681" s="1"/>
    </row>
    <row r="682" spans="1:38" s="2" customFormat="1" hidden="1" x14ac:dyDescent="0.35">
      <c r="A682" s="2" t="s">
        <v>902</v>
      </c>
      <c r="B682" s="2" t="s">
        <v>1028</v>
      </c>
      <c r="C682" s="26"/>
      <c r="D682" s="26"/>
      <c r="E682" s="26"/>
      <c r="F682" s="26"/>
      <c r="G682" s="26"/>
      <c r="H682" s="10"/>
      <c r="I682" s="10"/>
      <c r="J682" s="10"/>
      <c r="K682" s="1"/>
      <c r="M682" s="10"/>
      <c r="Q682" s="10"/>
      <c r="S682" s="1"/>
      <c r="T682" s="1"/>
      <c r="U682" s="1"/>
      <c r="V682" s="1"/>
      <c r="W682" s="1"/>
      <c r="X682" s="1"/>
      <c r="Y682" s="1"/>
      <c r="Z682" s="1"/>
    </row>
    <row r="683" spans="1:38" s="10" customFormat="1" x14ac:dyDescent="0.35">
      <c r="A683" s="10" t="s">
        <v>902</v>
      </c>
      <c r="B683" s="10" t="s">
        <v>1029</v>
      </c>
      <c r="C683" s="10" t="s">
        <v>335</v>
      </c>
      <c r="D683" s="10">
        <v>40</v>
      </c>
      <c r="E683" s="10" t="s">
        <v>1091</v>
      </c>
      <c r="F683" s="10" t="s">
        <v>1091</v>
      </c>
      <c r="G683" s="10" t="s">
        <v>53</v>
      </c>
      <c r="H683" s="10" t="s">
        <v>1078</v>
      </c>
      <c r="L683" s="10">
        <v>40</v>
      </c>
      <c r="M683" s="1"/>
      <c r="N683" s="10">
        <v>40</v>
      </c>
      <c r="O683" s="56"/>
      <c r="P683" s="1"/>
      <c r="Q683" s="59"/>
      <c r="T683" s="10">
        <v>1990</v>
      </c>
      <c r="U683" s="10">
        <v>2030</v>
      </c>
      <c r="V683" s="10">
        <v>0</v>
      </c>
      <c r="W683" s="10">
        <v>0</v>
      </c>
      <c r="X683" s="10" t="s">
        <v>51</v>
      </c>
      <c r="Y683" s="10" t="s">
        <v>51</v>
      </c>
      <c r="AB683" s="10">
        <v>1</v>
      </c>
      <c r="AC683" s="10">
        <v>2050</v>
      </c>
      <c r="AF683" s="10" t="s">
        <v>215</v>
      </c>
      <c r="AL683" s="10" t="s">
        <v>101</v>
      </c>
    </row>
    <row r="684" spans="1:38" s="10" customFormat="1" x14ac:dyDescent="0.35">
      <c r="A684" s="10" t="s">
        <v>902</v>
      </c>
      <c r="B684" s="10" t="s">
        <v>1030</v>
      </c>
      <c r="C684" s="10" t="s">
        <v>102</v>
      </c>
      <c r="D684" s="10" t="s">
        <v>342</v>
      </c>
      <c r="E684" s="10" t="s">
        <v>1091</v>
      </c>
      <c r="F684" s="10" t="s">
        <v>1091</v>
      </c>
      <c r="G684" s="10" t="s">
        <v>53</v>
      </c>
      <c r="H684" s="10" t="s">
        <v>1078</v>
      </c>
      <c r="L684" s="10" t="s">
        <v>342</v>
      </c>
      <c r="M684" s="1"/>
      <c r="N684" s="10" t="s">
        <v>342</v>
      </c>
      <c r="O684" s="56"/>
      <c r="P684" s="1"/>
      <c r="Q684" s="59"/>
      <c r="T684" s="10">
        <v>1990</v>
      </c>
      <c r="U684" s="10">
        <v>2030</v>
      </c>
      <c r="V684" s="10">
        <v>0</v>
      </c>
      <c r="W684" s="10">
        <v>0</v>
      </c>
      <c r="X684" s="10" t="s">
        <v>51</v>
      </c>
      <c r="Y684" s="10" t="s">
        <v>51</v>
      </c>
      <c r="AB684" s="10">
        <v>1</v>
      </c>
      <c r="AC684" s="10">
        <v>2050</v>
      </c>
      <c r="AF684" s="10" t="s">
        <v>215</v>
      </c>
      <c r="AL684" s="10" t="s">
        <v>343</v>
      </c>
    </row>
    <row r="685" spans="1:38" s="2" customFormat="1" hidden="1" x14ac:dyDescent="0.35">
      <c r="A685" s="2" t="s">
        <v>902</v>
      </c>
      <c r="B685" s="2" t="s">
        <v>1031</v>
      </c>
      <c r="C685" s="26"/>
      <c r="D685" s="26"/>
      <c r="E685" s="26"/>
      <c r="F685" s="26"/>
      <c r="G685" s="26"/>
      <c r="H685" s="10"/>
      <c r="I685" s="10"/>
      <c r="J685" s="10"/>
      <c r="K685" s="1"/>
      <c r="M685" s="10"/>
      <c r="Q685" s="10"/>
      <c r="S685" s="1"/>
      <c r="T685" s="1"/>
      <c r="U685" s="1"/>
      <c r="V685" s="1"/>
      <c r="W685" s="1"/>
      <c r="X685" s="1"/>
      <c r="Y685" s="1"/>
      <c r="Z685" s="1"/>
    </row>
    <row r="686" spans="1:38" s="2" customFormat="1" hidden="1" x14ac:dyDescent="0.35">
      <c r="A686" s="2" t="s">
        <v>903</v>
      </c>
      <c r="B686" s="2" t="s">
        <v>1028</v>
      </c>
      <c r="C686" s="26" t="s">
        <v>904</v>
      </c>
      <c r="D686" s="26">
        <v>50</v>
      </c>
      <c r="E686" s="26"/>
      <c r="F686" s="26"/>
      <c r="G686" s="26" t="s">
        <v>53</v>
      </c>
      <c r="H686" s="2" t="s">
        <v>1078</v>
      </c>
      <c r="I686" s="10"/>
      <c r="J686" s="10"/>
      <c r="K686" s="1"/>
      <c r="L686" s="2">
        <v>50</v>
      </c>
      <c r="M686" s="10"/>
      <c r="N686" s="2">
        <v>50</v>
      </c>
      <c r="Q686" s="10"/>
      <c r="R686" s="2" t="s">
        <v>455</v>
      </c>
      <c r="S686" s="1"/>
      <c r="T686" s="1">
        <v>1990</v>
      </c>
      <c r="U686" s="1">
        <v>2030</v>
      </c>
      <c r="V686" s="1">
        <v>0</v>
      </c>
      <c r="W686" s="1">
        <v>0</v>
      </c>
      <c r="X686" s="1" t="s">
        <v>51</v>
      </c>
      <c r="Y686" s="1" t="s">
        <v>51</v>
      </c>
      <c r="Z686" s="1"/>
      <c r="AA686" s="2">
        <v>2025</v>
      </c>
      <c r="AB686" s="2">
        <v>0</v>
      </c>
      <c r="AF686" s="2" t="s">
        <v>905</v>
      </c>
    </row>
    <row r="687" spans="1:38" s="10" customFormat="1" ht="17" x14ac:dyDescent="0.35">
      <c r="A687" s="10" t="s">
        <v>903</v>
      </c>
      <c r="B687" s="10" t="s">
        <v>1029</v>
      </c>
      <c r="C687" s="14" t="s">
        <v>1179</v>
      </c>
      <c r="D687" s="10">
        <v>50</v>
      </c>
      <c r="E687" s="10" t="s">
        <v>1091</v>
      </c>
      <c r="F687" s="10" t="s">
        <v>1091</v>
      </c>
      <c r="G687" s="10" t="s">
        <v>53</v>
      </c>
      <c r="H687" s="10" t="s">
        <v>1078</v>
      </c>
      <c r="L687" s="10">
        <v>50</v>
      </c>
      <c r="M687" s="1"/>
      <c r="N687" s="10">
        <v>50</v>
      </c>
      <c r="O687" s="56"/>
      <c r="P687" s="1"/>
      <c r="Q687" s="59"/>
      <c r="R687" s="10" t="s">
        <v>455</v>
      </c>
      <c r="T687" s="10">
        <v>1990</v>
      </c>
      <c r="U687" s="10">
        <v>2030</v>
      </c>
      <c r="V687" s="10">
        <v>0</v>
      </c>
      <c r="W687" s="10">
        <v>0</v>
      </c>
      <c r="X687" s="10" t="s">
        <v>51</v>
      </c>
      <c r="Y687" s="10" t="s">
        <v>51</v>
      </c>
      <c r="AA687" s="10">
        <v>2025</v>
      </c>
      <c r="AB687" s="10">
        <v>0</v>
      </c>
      <c r="AF687" s="10" t="s">
        <v>905</v>
      </c>
    </row>
    <row r="688" spans="1:38" s="10" customFormat="1" x14ac:dyDescent="0.35">
      <c r="A688" s="10" t="s">
        <v>903</v>
      </c>
      <c r="B688" s="10" t="s">
        <v>1030</v>
      </c>
      <c r="C688" s="10" t="s">
        <v>906</v>
      </c>
      <c r="D688" s="10">
        <v>50</v>
      </c>
      <c r="E688" s="10" t="s">
        <v>1091</v>
      </c>
      <c r="F688" s="10" t="s">
        <v>1091</v>
      </c>
      <c r="G688" s="10" t="s">
        <v>53</v>
      </c>
      <c r="H688" s="10" t="s">
        <v>1078</v>
      </c>
      <c r="L688" s="10">
        <v>50</v>
      </c>
      <c r="M688" s="1"/>
      <c r="N688" s="10">
        <v>50</v>
      </c>
      <c r="O688" s="56"/>
      <c r="P688" s="1"/>
      <c r="Q688" s="59"/>
      <c r="T688" s="10">
        <v>1990</v>
      </c>
      <c r="U688" s="10">
        <v>2030</v>
      </c>
      <c r="V688" s="10">
        <v>0</v>
      </c>
      <c r="W688" s="10">
        <v>0</v>
      </c>
      <c r="X688" s="10" t="s">
        <v>51</v>
      </c>
      <c r="Y688" s="10" t="s">
        <v>51</v>
      </c>
      <c r="AB688" s="10">
        <v>1</v>
      </c>
      <c r="AC688" s="10">
        <v>2050</v>
      </c>
      <c r="AF688" s="10" t="s">
        <v>905</v>
      </c>
    </row>
    <row r="689" spans="1:36" s="2" customFormat="1" hidden="1" x14ac:dyDescent="0.35">
      <c r="A689" s="2" t="s">
        <v>903</v>
      </c>
      <c r="B689" s="2" t="s">
        <v>1031</v>
      </c>
      <c r="C689" s="26" t="s">
        <v>907</v>
      </c>
      <c r="D689" s="26">
        <v>65</v>
      </c>
      <c r="E689" s="26"/>
      <c r="F689" s="26"/>
      <c r="G689" s="26" t="s">
        <v>49</v>
      </c>
      <c r="H689" s="2" t="s">
        <v>1078</v>
      </c>
      <c r="I689" s="10"/>
      <c r="J689" s="10"/>
      <c r="K689" s="1"/>
      <c r="L689" s="2">
        <v>65</v>
      </c>
      <c r="M689" s="10"/>
      <c r="N689" s="2">
        <v>65</v>
      </c>
      <c r="Q689" s="10"/>
      <c r="S689" s="1"/>
      <c r="T689" s="1">
        <v>1990</v>
      </c>
      <c r="U689" s="1">
        <v>2035</v>
      </c>
      <c r="V689" s="1">
        <v>0</v>
      </c>
      <c r="W689" s="1">
        <v>0</v>
      </c>
      <c r="X689" s="1" t="s">
        <v>51</v>
      </c>
      <c r="Y689" s="1" t="s">
        <v>51</v>
      </c>
      <c r="Z689" s="1"/>
      <c r="AB689" s="2">
        <v>0</v>
      </c>
      <c r="AF689" s="2" t="s">
        <v>908</v>
      </c>
    </row>
    <row r="690" spans="1:36" s="2" customFormat="1" hidden="1" x14ac:dyDescent="0.35">
      <c r="A690" s="2" t="s">
        <v>909</v>
      </c>
      <c r="B690" s="2" t="s">
        <v>1028</v>
      </c>
      <c r="C690" s="26" t="s">
        <v>910</v>
      </c>
      <c r="D690" s="26"/>
      <c r="E690" s="26"/>
      <c r="F690" s="26"/>
      <c r="G690" s="26" t="s">
        <v>129</v>
      </c>
      <c r="H690" s="10"/>
      <c r="I690" s="10"/>
      <c r="J690" s="10"/>
      <c r="K690" s="1"/>
      <c r="M690" s="10"/>
      <c r="Q690" s="10"/>
      <c r="S690" s="1"/>
      <c r="T690" s="1"/>
      <c r="U690" s="1"/>
      <c r="V690" s="1">
        <v>1</v>
      </c>
      <c r="W690" s="1">
        <v>1</v>
      </c>
      <c r="X690" s="1"/>
      <c r="Y690" s="1"/>
      <c r="Z690" s="1"/>
      <c r="AB690" s="2">
        <v>0</v>
      </c>
      <c r="AF690" s="2" t="s">
        <v>911</v>
      </c>
    </row>
    <row r="691" spans="1:36" s="46" customFormat="1" x14ac:dyDescent="0.35">
      <c r="A691" s="46" t="s">
        <v>909</v>
      </c>
      <c r="B691" s="46" t="s">
        <v>1029</v>
      </c>
      <c r="C691" s="46" t="s">
        <v>910</v>
      </c>
      <c r="G691" s="46" t="s">
        <v>129</v>
      </c>
      <c r="I691" s="48" t="s">
        <v>1085</v>
      </c>
      <c r="M691" s="51"/>
      <c r="O691" s="57"/>
      <c r="P691" s="51"/>
      <c r="Q691" s="60"/>
      <c r="V691" s="46">
        <v>1</v>
      </c>
      <c r="W691" s="46">
        <v>1</v>
      </c>
      <c r="AB691" s="46">
        <v>0</v>
      </c>
      <c r="AF691" s="46" t="s">
        <v>911</v>
      </c>
    </row>
    <row r="692" spans="1:36" s="46" customFormat="1" x14ac:dyDescent="0.35">
      <c r="A692" s="46" t="s">
        <v>909</v>
      </c>
      <c r="B692" s="46" t="s">
        <v>1030</v>
      </c>
      <c r="I692" s="46" t="s">
        <v>1082</v>
      </c>
      <c r="M692" s="51"/>
      <c r="O692" s="57"/>
      <c r="P692" s="51"/>
      <c r="Q692" s="60"/>
    </row>
    <row r="693" spans="1:36" s="2" customFormat="1" hidden="1" x14ac:dyDescent="0.35">
      <c r="A693" s="2" t="s">
        <v>909</v>
      </c>
      <c r="B693" s="2" t="s">
        <v>1031</v>
      </c>
      <c r="C693" s="26"/>
      <c r="D693" s="26"/>
      <c r="E693" s="26"/>
      <c r="F693" s="26"/>
      <c r="G693" s="26"/>
      <c r="H693" s="10"/>
      <c r="I693" s="10"/>
      <c r="J693" s="10"/>
      <c r="K693" s="1"/>
      <c r="M693" s="10"/>
      <c r="Q693" s="10"/>
      <c r="S693" s="1"/>
      <c r="T693" s="1"/>
      <c r="U693" s="1"/>
      <c r="V693" s="1"/>
      <c r="W693" s="1"/>
      <c r="X693" s="1"/>
      <c r="Y693" s="1"/>
      <c r="Z693" s="1"/>
    </row>
    <row r="694" spans="1:36" s="2" customFormat="1" hidden="1" x14ac:dyDescent="0.35">
      <c r="A694" s="2" t="s">
        <v>912</v>
      </c>
      <c r="B694" s="2" t="s">
        <v>1028</v>
      </c>
      <c r="C694" s="26" t="s">
        <v>140</v>
      </c>
      <c r="D694" s="26">
        <v>24</v>
      </c>
      <c r="E694" s="26"/>
      <c r="F694" s="26"/>
      <c r="G694" s="26" t="s">
        <v>129</v>
      </c>
      <c r="H694" s="2" t="s">
        <v>1076</v>
      </c>
      <c r="I694" s="10"/>
      <c r="J694" s="10"/>
      <c r="K694" s="1"/>
      <c r="L694" s="2">
        <v>24</v>
      </c>
      <c r="M694" s="10"/>
      <c r="P694" s="2">
        <v>24</v>
      </c>
      <c r="Q694" s="10"/>
      <c r="S694" s="1" t="s">
        <v>45</v>
      </c>
      <c r="T694" s="1"/>
      <c r="U694" s="1">
        <v>2030</v>
      </c>
      <c r="V694" s="1">
        <v>1</v>
      </c>
      <c r="W694" s="1">
        <v>1</v>
      </c>
      <c r="X694" s="1" t="s">
        <v>32</v>
      </c>
      <c r="Y694" s="1" t="s">
        <v>32</v>
      </c>
      <c r="Z694" s="1"/>
      <c r="AB694" s="2">
        <v>0</v>
      </c>
      <c r="AF694" s="2" t="s">
        <v>913</v>
      </c>
    </row>
    <row r="695" spans="1:36" s="10" customFormat="1" ht="17" x14ac:dyDescent="0.35">
      <c r="A695" s="10" t="s">
        <v>912</v>
      </c>
      <c r="B695" s="10" t="s">
        <v>1029</v>
      </c>
      <c r="C695" s="33">
        <v>42411</v>
      </c>
      <c r="D695" s="10">
        <v>24</v>
      </c>
      <c r="E695" s="10" t="s">
        <v>1097</v>
      </c>
      <c r="F695" s="10" t="s">
        <v>1097</v>
      </c>
      <c r="G695" s="10" t="s">
        <v>129</v>
      </c>
      <c r="H695" s="10" t="s">
        <v>1076</v>
      </c>
      <c r="L695" s="10">
        <v>24</v>
      </c>
      <c r="M695" s="1"/>
      <c r="O695" s="56"/>
      <c r="P695" s="1">
        <v>24</v>
      </c>
      <c r="Q695" s="59"/>
      <c r="S695" s="10" t="s">
        <v>45</v>
      </c>
      <c r="U695" s="10">
        <v>2030</v>
      </c>
      <c r="V695" s="10">
        <v>1</v>
      </c>
      <c r="W695" s="10">
        <v>1</v>
      </c>
      <c r="X695" s="10" t="s">
        <v>32</v>
      </c>
      <c r="Y695" s="10" t="s">
        <v>32</v>
      </c>
      <c r="AB695" s="10">
        <v>0</v>
      </c>
      <c r="AF695" s="10" t="s">
        <v>913</v>
      </c>
    </row>
    <row r="696" spans="1:36" s="10" customFormat="1" x14ac:dyDescent="0.35">
      <c r="A696" s="10" t="s">
        <v>912</v>
      </c>
      <c r="B696" s="10" t="s">
        <v>1030</v>
      </c>
      <c r="C696" s="10" t="s">
        <v>144</v>
      </c>
      <c r="D696" s="10" t="s">
        <v>242</v>
      </c>
      <c r="E696" s="10" t="s">
        <v>1097</v>
      </c>
      <c r="F696" s="10" t="s">
        <v>1097</v>
      </c>
      <c r="G696" s="10" t="s">
        <v>129</v>
      </c>
      <c r="H696" s="10" t="s">
        <v>1076</v>
      </c>
      <c r="L696" s="10" t="s">
        <v>242</v>
      </c>
      <c r="M696" s="1"/>
      <c r="O696" s="56"/>
      <c r="P696" s="1" t="s">
        <v>242</v>
      </c>
      <c r="Q696" s="59"/>
      <c r="S696" s="10" t="s">
        <v>45</v>
      </c>
      <c r="U696" s="10">
        <v>2030</v>
      </c>
      <c r="V696" s="10">
        <v>1</v>
      </c>
      <c r="W696" s="10">
        <v>1</v>
      </c>
      <c r="X696" s="10" t="s">
        <v>32</v>
      </c>
      <c r="Y696" s="10" t="s">
        <v>32</v>
      </c>
      <c r="AB696" s="10">
        <v>0</v>
      </c>
      <c r="AF696" s="10" t="s">
        <v>914</v>
      </c>
    </row>
    <row r="697" spans="1:36" s="2" customFormat="1" ht="17" hidden="1" x14ac:dyDescent="0.35">
      <c r="A697" s="2" t="s">
        <v>912</v>
      </c>
      <c r="B697" s="2" t="s">
        <v>1031</v>
      </c>
      <c r="C697" s="30" t="s">
        <v>1058</v>
      </c>
      <c r="D697" s="26">
        <v>35.4</v>
      </c>
      <c r="E697" s="26"/>
      <c r="F697" s="26"/>
      <c r="G697" s="26"/>
      <c r="H697" s="2" t="s">
        <v>1076</v>
      </c>
      <c r="I697" s="14"/>
      <c r="J697" s="14"/>
      <c r="K697" s="18"/>
      <c r="L697" s="2">
        <v>35.4</v>
      </c>
      <c r="M697" s="10"/>
      <c r="P697" s="2">
        <v>35.4</v>
      </c>
      <c r="Q697" s="10"/>
      <c r="S697" s="1" t="s">
        <v>45</v>
      </c>
      <c r="T697" s="1"/>
      <c r="U697" s="1">
        <v>2035</v>
      </c>
      <c r="V697" s="1">
        <v>1</v>
      </c>
      <c r="W697" s="1">
        <v>1</v>
      </c>
      <c r="X697" s="1" t="s">
        <v>32</v>
      </c>
      <c r="Y697" s="1" t="s">
        <v>32</v>
      </c>
      <c r="Z697" s="1"/>
      <c r="AB697" s="2">
        <v>0</v>
      </c>
    </row>
    <row r="698" spans="1:36" s="2" customFormat="1" hidden="1" x14ac:dyDescent="0.35">
      <c r="A698" s="2" t="s">
        <v>915</v>
      </c>
      <c r="B698" s="2" t="s">
        <v>1028</v>
      </c>
      <c r="C698" s="26" t="s">
        <v>140</v>
      </c>
      <c r="D698" s="26">
        <v>30</v>
      </c>
      <c r="E698" s="26"/>
      <c r="F698" s="26"/>
      <c r="G698" s="26" t="s">
        <v>53</v>
      </c>
      <c r="H698" s="10" t="s">
        <v>1077</v>
      </c>
      <c r="I698" s="10"/>
      <c r="J698" s="10"/>
      <c r="K698" s="1"/>
      <c r="L698" s="2">
        <v>30</v>
      </c>
      <c r="M698" s="10"/>
      <c r="N698" s="2">
        <v>15</v>
      </c>
      <c r="P698" s="2">
        <v>30</v>
      </c>
      <c r="Q698" s="10"/>
      <c r="S698" s="1"/>
      <c r="T698" s="1">
        <v>1990</v>
      </c>
      <c r="U698" s="1">
        <v>2030</v>
      </c>
      <c r="V698" s="1">
        <v>1</v>
      </c>
      <c r="W698" s="1">
        <v>1</v>
      </c>
      <c r="X698" s="1" t="s">
        <v>51</v>
      </c>
      <c r="Y698" s="1" t="s">
        <v>51</v>
      </c>
      <c r="Z698" s="1"/>
      <c r="AB698" s="2">
        <v>0</v>
      </c>
      <c r="AF698" s="2" t="s">
        <v>916</v>
      </c>
    </row>
    <row r="699" spans="1:36" s="10" customFormat="1" x14ac:dyDescent="0.35">
      <c r="A699" s="10" t="s">
        <v>915</v>
      </c>
      <c r="B699" s="10" t="s">
        <v>1029</v>
      </c>
      <c r="C699" s="10" t="s">
        <v>917</v>
      </c>
      <c r="D699" s="10">
        <v>30</v>
      </c>
      <c r="E699" s="10" t="s">
        <v>1180</v>
      </c>
      <c r="F699" s="10" t="s">
        <v>1168</v>
      </c>
      <c r="G699" s="10" t="s">
        <v>53</v>
      </c>
      <c r="H699" s="10" t="s">
        <v>1077</v>
      </c>
      <c r="L699" s="10">
        <v>30</v>
      </c>
      <c r="M699" s="1"/>
      <c r="N699" s="10">
        <v>15</v>
      </c>
      <c r="O699" s="56"/>
      <c r="P699" s="1">
        <v>30</v>
      </c>
      <c r="Q699" s="59"/>
      <c r="T699" s="10">
        <v>1990</v>
      </c>
      <c r="U699" s="10">
        <v>2030</v>
      </c>
      <c r="V699" s="10">
        <v>1</v>
      </c>
      <c r="W699" s="10">
        <v>1</v>
      </c>
      <c r="X699" s="10" t="s">
        <v>51</v>
      </c>
      <c r="Y699" s="10" t="s">
        <v>51</v>
      </c>
      <c r="AB699" s="10">
        <v>0</v>
      </c>
      <c r="AF699" s="10" t="s">
        <v>916</v>
      </c>
    </row>
    <row r="700" spans="1:36" s="10" customFormat="1" x14ac:dyDescent="0.35">
      <c r="A700" s="10" t="s">
        <v>915</v>
      </c>
      <c r="B700" s="10" t="s">
        <v>1030</v>
      </c>
      <c r="C700" s="10">
        <v>44540</v>
      </c>
      <c r="D700" s="10">
        <v>45</v>
      </c>
      <c r="E700" s="10" t="s">
        <v>1180</v>
      </c>
      <c r="F700" s="10" t="s">
        <v>1168</v>
      </c>
      <c r="G700" s="10" t="s">
        <v>53</v>
      </c>
      <c r="H700" s="10" t="s">
        <v>1077</v>
      </c>
      <c r="L700" s="10">
        <v>45</v>
      </c>
      <c r="M700" s="1"/>
      <c r="N700" s="10">
        <v>35</v>
      </c>
      <c r="O700" s="56"/>
      <c r="P700" s="1">
        <v>45</v>
      </c>
      <c r="Q700" s="59"/>
      <c r="T700" s="10">
        <v>1990</v>
      </c>
      <c r="U700" s="10">
        <v>2030</v>
      </c>
      <c r="V700" s="10">
        <v>1</v>
      </c>
      <c r="W700" s="10">
        <v>1</v>
      </c>
      <c r="X700" s="10" t="s">
        <v>51</v>
      </c>
      <c r="Y700" s="10" t="s">
        <v>51</v>
      </c>
      <c r="AB700" s="10">
        <v>0</v>
      </c>
      <c r="AF700" s="10" t="s">
        <v>135</v>
      </c>
      <c r="AJ700" s="10" t="s">
        <v>918</v>
      </c>
    </row>
    <row r="701" spans="1:36" s="2" customFormat="1" hidden="1" x14ac:dyDescent="0.35">
      <c r="A701" s="2" t="s">
        <v>915</v>
      </c>
      <c r="B701" s="2" t="s">
        <v>1031</v>
      </c>
      <c r="C701" s="26"/>
      <c r="D701" s="26"/>
      <c r="E701" s="26"/>
      <c r="F701" s="26"/>
      <c r="G701" s="26"/>
      <c r="H701" s="10"/>
      <c r="I701" s="10"/>
      <c r="J701" s="10"/>
      <c r="K701" s="1"/>
      <c r="M701" s="10"/>
      <c r="Q701" s="10"/>
      <c r="S701" s="1"/>
      <c r="T701" s="1"/>
      <c r="U701" s="1"/>
      <c r="V701" s="1"/>
      <c r="W701" s="1"/>
      <c r="X701" s="1"/>
      <c r="Y701" s="1"/>
      <c r="Z701" s="1"/>
    </row>
    <row r="702" spans="1:36" s="2" customFormat="1" hidden="1" x14ac:dyDescent="0.35">
      <c r="A702" s="2" t="s">
        <v>919</v>
      </c>
      <c r="B702" s="2" t="s">
        <v>1028</v>
      </c>
      <c r="C702" s="26" t="s">
        <v>83</v>
      </c>
      <c r="D702" s="26">
        <v>15</v>
      </c>
      <c r="E702" s="26"/>
      <c r="F702" s="26"/>
      <c r="G702" s="26"/>
      <c r="H702" s="2" t="s">
        <v>1076</v>
      </c>
      <c r="I702" s="10"/>
      <c r="J702" s="10"/>
      <c r="K702" s="1"/>
      <c r="L702" s="2">
        <v>15</v>
      </c>
      <c r="M702" s="10"/>
      <c r="P702" s="2">
        <v>15</v>
      </c>
      <c r="Q702" s="10"/>
      <c r="S702" s="1" t="s">
        <v>45</v>
      </c>
      <c r="T702" s="1"/>
      <c r="U702" s="1">
        <v>2030</v>
      </c>
      <c r="V702" s="1">
        <v>1</v>
      </c>
      <c r="W702" s="1">
        <v>1</v>
      </c>
      <c r="X702" s="1" t="s">
        <v>32</v>
      </c>
      <c r="Y702" s="1" t="s">
        <v>32</v>
      </c>
      <c r="Z702" s="1"/>
      <c r="AB702" s="2">
        <v>0</v>
      </c>
      <c r="AF702" s="2" t="s">
        <v>920</v>
      </c>
    </row>
    <row r="703" spans="1:36" s="10" customFormat="1" x14ac:dyDescent="0.35">
      <c r="A703" s="10" t="s">
        <v>919</v>
      </c>
      <c r="B703" s="10" t="s">
        <v>1029</v>
      </c>
      <c r="C703" s="10" t="s">
        <v>921</v>
      </c>
      <c r="D703" s="10">
        <v>15</v>
      </c>
      <c r="E703" s="10" t="s">
        <v>1181</v>
      </c>
      <c r="F703" s="10" t="s">
        <v>1097</v>
      </c>
      <c r="G703" s="10" t="s">
        <v>1117</v>
      </c>
      <c r="H703" s="10" t="s">
        <v>1076</v>
      </c>
      <c r="L703" s="10">
        <v>15</v>
      </c>
      <c r="M703" s="1"/>
      <c r="O703" s="56"/>
      <c r="P703" s="1">
        <v>15</v>
      </c>
      <c r="Q703" s="59"/>
      <c r="S703" s="10" t="s">
        <v>45</v>
      </c>
      <c r="U703" s="10">
        <v>2030</v>
      </c>
      <c r="V703" s="10">
        <v>1</v>
      </c>
      <c r="W703" s="10">
        <v>1</v>
      </c>
      <c r="X703" s="10" t="s">
        <v>32</v>
      </c>
      <c r="Y703" s="10" t="s">
        <v>32</v>
      </c>
      <c r="AB703" s="10">
        <v>0</v>
      </c>
      <c r="AF703" s="10" t="s">
        <v>920</v>
      </c>
      <c r="AJ703" s="10" t="s">
        <v>922</v>
      </c>
    </row>
    <row r="704" spans="1:36" s="10" customFormat="1" x14ac:dyDescent="0.35">
      <c r="A704" s="10" t="s">
        <v>919</v>
      </c>
      <c r="B704" s="10" t="s">
        <v>1030</v>
      </c>
      <c r="C704" s="10" t="s">
        <v>144</v>
      </c>
      <c r="D704" s="10">
        <v>32.5</v>
      </c>
      <c r="E704" s="10" t="s">
        <v>1181</v>
      </c>
      <c r="F704" s="10" t="s">
        <v>1097</v>
      </c>
      <c r="G704" s="10" t="s">
        <v>53</v>
      </c>
      <c r="H704" s="10" t="s">
        <v>1076</v>
      </c>
      <c r="L704" s="10">
        <v>32.5</v>
      </c>
      <c r="M704" s="1"/>
      <c r="O704" s="56"/>
      <c r="P704" s="1">
        <v>32.5</v>
      </c>
      <c r="Q704" s="59"/>
      <c r="S704" s="10" t="s">
        <v>45</v>
      </c>
      <c r="U704" s="10">
        <v>2030</v>
      </c>
      <c r="V704" s="10">
        <v>1</v>
      </c>
      <c r="W704" s="10">
        <v>1</v>
      </c>
      <c r="X704" s="10" t="s">
        <v>32</v>
      </c>
      <c r="Y704" s="10" t="s">
        <v>32</v>
      </c>
      <c r="AB704" s="10">
        <v>0</v>
      </c>
      <c r="AF704" s="10" t="s">
        <v>923</v>
      </c>
      <c r="AJ704" s="10" t="s">
        <v>924</v>
      </c>
    </row>
    <row r="705" spans="1:36" s="2" customFormat="1" hidden="1" x14ac:dyDescent="0.35">
      <c r="A705" s="2" t="s">
        <v>919</v>
      </c>
      <c r="B705" s="2" t="s">
        <v>1031</v>
      </c>
      <c r="C705" s="26"/>
      <c r="D705" s="26"/>
      <c r="E705" s="26"/>
      <c r="F705" s="26"/>
      <c r="G705" s="26"/>
      <c r="H705" s="10"/>
      <c r="I705" s="10"/>
      <c r="J705" s="10"/>
      <c r="K705" s="1"/>
      <c r="M705" s="10"/>
      <c r="Q705" s="10"/>
      <c r="S705" s="1"/>
      <c r="T705" s="1"/>
      <c r="U705" s="1"/>
      <c r="V705" s="1"/>
      <c r="W705" s="1"/>
      <c r="X705" s="1"/>
      <c r="Y705" s="1"/>
      <c r="Z705" s="1"/>
    </row>
    <row r="706" spans="1:36" s="2" customFormat="1" hidden="1" x14ac:dyDescent="0.35">
      <c r="A706" s="2" t="s">
        <v>925</v>
      </c>
      <c r="B706" s="2" t="s">
        <v>1028</v>
      </c>
      <c r="C706" s="26" t="s">
        <v>156</v>
      </c>
      <c r="D706" s="26" t="s">
        <v>926</v>
      </c>
      <c r="E706" s="26"/>
      <c r="F706" s="26"/>
      <c r="G706" s="26"/>
      <c r="H706" s="10" t="s">
        <v>1077</v>
      </c>
      <c r="I706" s="10"/>
      <c r="J706" s="10"/>
      <c r="K706" s="1"/>
      <c r="L706" s="2" t="s">
        <v>926</v>
      </c>
      <c r="M706" s="10"/>
      <c r="N706" s="2">
        <v>20</v>
      </c>
      <c r="P706" s="2" t="s">
        <v>1079</v>
      </c>
      <c r="Q706" s="10"/>
      <c r="S706" s="1" t="s">
        <v>45</v>
      </c>
      <c r="T706" s="1"/>
      <c r="U706" s="1">
        <v>2030</v>
      </c>
      <c r="V706" s="1">
        <v>1</v>
      </c>
      <c r="W706" s="1">
        <v>1</v>
      </c>
      <c r="X706" s="1" t="s">
        <v>32</v>
      </c>
      <c r="Y706" s="1" t="s">
        <v>32</v>
      </c>
      <c r="Z706" s="1"/>
      <c r="AB706" s="2">
        <v>0</v>
      </c>
      <c r="AF706" s="2" t="s">
        <v>927</v>
      </c>
    </row>
    <row r="707" spans="1:36" s="10" customFormat="1" ht="17.5" x14ac:dyDescent="0.35">
      <c r="A707" s="10" t="s">
        <v>925</v>
      </c>
      <c r="B707" s="10" t="s">
        <v>1029</v>
      </c>
      <c r="C707" s="10" t="s">
        <v>40</v>
      </c>
      <c r="D707" s="10" t="s">
        <v>926</v>
      </c>
      <c r="E707" s="10" t="s">
        <v>1152</v>
      </c>
      <c r="F707" s="10" t="s">
        <v>1168</v>
      </c>
      <c r="G707" s="12" t="s">
        <v>53</v>
      </c>
      <c r="H707" s="10" t="s">
        <v>1077</v>
      </c>
      <c r="L707" s="10" t="s">
        <v>926</v>
      </c>
      <c r="M707" s="1"/>
      <c r="N707" s="10">
        <v>20</v>
      </c>
      <c r="O707" s="56"/>
      <c r="P707" s="1" t="s">
        <v>1079</v>
      </c>
      <c r="Q707" s="59"/>
      <c r="S707" s="10" t="s">
        <v>45</v>
      </c>
      <c r="U707" s="10">
        <v>2030</v>
      </c>
      <c r="V707" s="10">
        <v>1</v>
      </c>
      <c r="W707" s="10">
        <v>1</v>
      </c>
      <c r="X707" s="10" t="s">
        <v>32</v>
      </c>
      <c r="Y707" s="10" t="s">
        <v>32</v>
      </c>
      <c r="AB707" s="10">
        <v>0</v>
      </c>
      <c r="AF707" s="10" t="s">
        <v>927</v>
      </c>
    </row>
    <row r="708" spans="1:36" s="10" customFormat="1" x14ac:dyDescent="0.35">
      <c r="A708" s="10" t="s">
        <v>925</v>
      </c>
      <c r="B708" s="10" t="s">
        <v>1030</v>
      </c>
      <c r="C708" s="10" t="s">
        <v>928</v>
      </c>
      <c r="D708" s="10">
        <v>40</v>
      </c>
      <c r="E708" s="10" t="s">
        <v>1152</v>
      </c>
      <c r="F708" s="10" t="s">
        <v>1168</v>
      </c>
      <c r="G708" s="10" t="s">
        <v>929</v>
      </c>
      <c r="H708" s="10" t="s">
        <v>1077</v>
      </c>
      <c r="L708" s="10">
        <v>40</v>
      </c>
      <c r="M708" s="1"/>
      <c r="N708" s="10">
        <v>30</v>
      </c>
      <c r="O708" s="56"/>
      <c r="P708" s="1">
        <v>10</v>
      </c>
      <c r="Q708" s="59"/>
      <c r="S708" s="10" t="s">
        <v>45</v>
      </c>
      <c r="U708" s="10">
        <v>2030</v>
      </c>
      <c r="V708" s="10">
        <v>1</v>
      </c>
      <c r="W708" s="10">
        <v>1</v>
      </c>
      <c r="X708" s="10" t="s">
        <v>32</v>
      </c>
      <c r="Y708" s="10" t="s">
        <v>32</v>
      </c>
      <c r="AB708" s="10">
        <v>1</v>
      </c>
      <c r="AC708" s="10">
        <v>2065</v>
      </c>
      <c r="AF708" s="10" t="s">
        <v>930</v>
      </c>
    </row>
    <row r="709" spans="1:36" s="2" customFormat="1" ht="17.5" hidden="1" x14ac:dyDescent="0.35">
      <c r="A709" s="2" t="s">
        <v>925</v>
      </c>
      <c r="B709" s="2" t="s">
        <v>1031</v>
      </c>
      <c r="C709" s="31">
        <v>45758</v>
      </c>
      <c r="D709" s="29">
        <v>47</v>
      </c>
      <c r="E709" s="29"/>
      <c r="F709" s="29"/>
      <c r="G709" s="26"/>
      <c r="H709" s="2" t="s">
        <v>1076</v>
      </c>
      <c r="I709" s="23"/>
      <c r="J709" s="23"/>
      <c r="K709" s="19"/>
      <c r="L709" s="4">
        <v>47</v>
      </c>
      <c r="M709" s="10"/>
      <c r="P709" s="4">
        <v>47</v>
      </c>
      <c r="Q709" s="10"/>
      <c r="S709" s="1"/>
      <c r="T709" s="1">
        <v>2019</v>
      </c>
      <c r="U709" s="1">
        <v>2035</v>
      </c>
      <c r="V709" s="1">
        <v>1</v>
      </c>
      <c r="W709" s="1">
        <v>1</v>
      </c>
      <c r="X709" s="1" t="s">
        <v>32</v>
      </c>
      <c r="Y709" s="1" t="s">
        <v>32</v>
      </c>
      <c r="Z709" s="1"/>
      <c r="AB709" s="2">
        <v>1</v>
      </c>
    </row>
    <row r="710" spans="1:36" s="2" customFormat="1" hidden="1" x14ac:dyDescent="0.35">
      <c r="A710" s="2" t="s">
        <v>931</v>
      </c>
      <c r="B710" s="2" t="s">
        <v>1028</v>
      </c>
      <c r="C710" s="26" t="s">
        <v>932</v>
      </c>
      <c r="D710" s="26" t="s">
        <v>933</v>
      </c>
      <c r="E710" s="26"/>
      <c r="F710" s="26"/>
      <c r="G710" s="26" t="s">
        <v>129</v>
      </c>
      <c r="H710" s="10" t="s">
        <v>1077</v>
      </c>
      <c r="I710" s="10"/>
      <c r="J710" s="10"/>
      <c r="K710" s="1"/>
      <c r="L710" s="2" t="s">
        <v>933</v>
      </c>
      <c r="M710" s="10"/>
      <c r="N710" s="2">
        <v>11.14</v>
      </c>
      <c r="P710" s="2">
        <v>20</v>
      </c>
      <c r="Q710" s="10"/>
      <c r="S710" s="1" t="s">
        <v>45</v>
      </c>
      <c r="T710" s="1"/>
      <c r="U710" s="1">
        <v>2030</v>
      </c>
      <c r="V710" s="1">
        <v>1</v>
      </c>
      <c r="W710" s="1">
        <v>1</v>
      </c>
      <c r="X710" s="1" t="s">
        <v>32</v>
      </c>
      <c r="Y710" s="1" t="s">
        <v>32</v>
      </c>
      <c r="Z710" s="1"/>
      <c r="AB710" s="2">
        <v>0</v>
      </c>
      <c r="AF710" s="2" t="s">
        <v>934</v>
      </c>
    </row>
    <row r="711" spans="1:36" s="10" customFormat="1" x14ac:dyDescent="0.35">
      <c r="A711" s="10" t="s">
        <v>931</v>
      </c>
      <c r="B711" s="10" t="s">
        <v>1029</v>
      </c>
      <c r="C711" s="10" t="s">
        <v>935</v>
      </c>
      <c r="D711" s="10" t="s">
        <v>933</v>
      </c>
      <c r="E711" s="10" t="s">
        <v>1152</v>
      </c>
      <c r="F711" s="10" t="s">
        <v>1168</v>
      </c>
      <c r="G711" s="10" t="s">
        <v>129</v>
      </c>
      <c r="H711" s="10" t="s">
        <v>1077</v>
      </c>
      <c r="L711" s="10" t="s">
        <v>933</v>
      </c>
      <c r="M711" s="1"/>
      <c r="N711" s="10">
        <v>11.14</v>
      </c>
      <c r="O711" s="56"/>
      <c r="P711" s="1">
        <v>20</v>
      </c>
      <c r="Q711" s="59"/>
      <c r="S711" s="10" t="s">
        <v>45</v>
      </c>
      <c r="U711" s="10">
        <v>2030</v>
      </c>
      <c r="V711" s="10">
        <v>1</v>
      </c>
      <c r="W711" s="10">
        <v>1</v>
      </c>
      <c r="X711" s="10" t="s">
        <v>32</v>
      </c>
      <c r="Y711" s="10" t="s">
        <v>32</v>
      </c>
      <c r="AB711" s="10">
        <v>0</v>
      </c>
      <c r="AF711" s="10" t="s">
        <v>934</v>
      </c>
    </row>
    <row r="712" spans="1:36" s="10" customFormat="1" ht="17" x14ac:dyDescent="0.35">
      <c r="A712" s="10" t="s">
        <v>931</v>
      </c>
      <c r="B712" s="10" t="s">
        <v>1030</v>
      </c>
      <c r="C712" s="33">
        <v>44540</v>
      </c>
      <c r="D712" s="10">
        <v>30.06</v>
      </c>
      <c r="E712" s="10" t="s">
        <v>1153</v>
      </c>
      <c r="F712" s="10" t="s">
        <v>1168</v>
      </c>
      <c r="G712" s="10" t="s">
        <v>929</v>
      </c>
      <c r="H712" s="10" t="s">
        <v>1077</v>
      </c>
      <c r="L712" s="10">
        <v>30.06</v>
      </c>
      <c r="M712" s="1"/>
      <c r="N712" s="10">
        <v>20.51</v>
      </c>
      <c r="O712" s="56"/>
      <c r="P712" s="1">
        <v>9.5500000000000007</v>
      </c>
      <c r="Q712" s="59"/>
      <c r="S712" s="10" t="s">
        <v>45</v>
      </c>
      <c r="U712" s="10">
        <v>2030</v>
      </c>
      <c r="V712" s="10">
        <v>1</v>
      </c>
      <c r="W712" s="10">
        <v>1</v>
      </c>
      <c r="X712" s="10" t="s">
        <v>32</v>
      </c>
      <c r="Y712" s="10" t="s">
        <v>32</v>
      </c>
      <c r="AB712" s="10">
        <v>0</v>
      </c>
      <c r="AF712" s="10" t="s">
        <v>934</v>
      </c>
      <c r="AJ712" s="10" t="s">
        <v>936</v>
      </c>
    </row>
    <row r="713" spans="1:36" s="2" customFormat="1" hidden="1" x14ac:dyDescent="0.35">
      <c r="A713" s="2" t="s">
        <v>931</v>
      </c>
      <c r="B713" s="2" t="s">
        <v>1031</v>
      </c>
      <c r="C713" s="26"/>
      <c r="D713" s="26"/>
      <c r="E713" s="26"/>
      <c r="F713" s="26"/>
      <c r="G713" s="26"/>
      <c r="H713" s="10"/>
      <c r="I713" s="10"/>
      <c r="J713" s="10"/>
      <c r="K713" s="1"/>
      <c r="M713" s="10"/>
      <c r="Q713" s="10"/>
      <c r="S713" s="1"/>
      <c r="T713" s="1"/>
      <c r="U713" s="1"/>
      <c r="V713" s="1"/>
      <c r="W713" s="1"/>
      <c r="X713" s="1"/>
      <c r="Y713" s="1"/>
      <c r="Z713" s="1"/>
    </row>
    <row r="714" spans="1:36" s="2" customFormat="1" hidden="1" x14ac:dyDescent="0.35">
      <c r="A714" s="2" t="s">
        <v>937</v>
      </c>
      <c r="B714" s="2" t="s">
        <v>1028</v>
      </c>
      <c r="C714" s="26">
        <v>42106</v>
      </c>
      <c r="D714" s="26"/>
      <c r="E714" s="26"/>
      <c r="F714" s="26"/>
      <c r="G714" s="26"/>
      <c r="H714" s="10"/>
      <c r="I714" s="10"/>
      <c r="J714" s="10"/>
      <c r="K714" s="1"/>
      <c r="M714" s="10"/>
      <c r="Q714" s="10"/>
      <c r="S714" s="1"/>
      <c r="T714" s="1"/>
      <c r="U714" s="1"/>
      <c r="V714" s="1">
        <v>1</v>
      </c>
      <c r="W714" s="1">
        <v>1</v>
      </c>
      <c r="X714" s="1"/>
      <c r="Y714" s="1"/>
      <c r="Z714" s="1"/>
      <c r="AB714" s="2">
        <v>0</v>
      </c>
      <c r="AF714" s="2" t="s">
        <v>938</v>
      </c>
    </row>
    <row r="715" spans="1:36" s="10" customFormat="1" x14ac:dyDescent="0.35">
      <c r="A715" s="10" t="s">
        <v>937</v>
      </c>
      <c r="B715" s="10" t="s">
        <v>1029</v>
      </c>
      <c r="C715" s="10" t="s">
        <v>40</v>
      </c>
      <c r="I715" s="22" t="s">
        <v>1085</v>
      </c>
      <c r="M715" s="1"/>
      <c r="O715" s="56"/>
      <c r="P715" s="1"/>
      <c r="Q715" s="59"/>
      <c r="V715" s="10">
        <v>1</v>
      </c>
      <c r="W715" s="10">
        <v>1</v>
      </c>
      <c r="AB715" s="10">
        <v>0</v>
      </c>
      <c r="AF715" s="10" t="s">
        <v>938</v>
      </c>
    </row>
    <row r="716" spans="1:36" s="10" customFormat="1" ht="17" x14ac:dyDescent="0.35">
      <c r="A716" s="10" t="s">
        <v>937</v>
      </c>
      <c r="B716" s="10" t="s">
        <v>1030</v>
      </c>
      <c r="C716" s="33">
        <v>44086</v>
      </c>
      <c r="D716" s="10">
        <v>13</v>
      </c>
      <c r="E716" s="10" t="s">
        <v>1182</v>
      </c>
      <c r="F716" s="10" t="s">
        <v>1148</v>
      </c>
      <c r="G716" s="10" t="s">
        <v>1148</v>
      </c>
      <c r="H716" s="10" t="s">
        <v>1077</v>
      </c>
      <c r="L716" s="10">
        <v>13</v>
      </c>
      <c r="M716" s="1"/>
      <c r="O716" s="56"/>
      <c r="P716" s="1"/>
      <c r="Q716" s="59"/>
      <c r="T716" s="10">
        <v>2006</v>
      </c>
      <c r="U716" s="10">
        <v>2030</v>
      </c>
      <c r="V716" s="10">
        <v>1</v>
      </c>
      <c r="W716" s="10">
        <v>1</v>
      </c>
      <c r="X716" s="10" t="s">
        <v>51</v>
      </c>
      <c r="Y716" s="10" t="s">
        <v>51</v>
      </c>
      <c r="AB716" s="10">
        <v>0</v>
      </c>
      <c r="AF716" s="10" t="s">
        <v>393</v>
      </c>
    </row>
    <row r="717" spans="1:36" s="2" customFormat="1" ht="17" hidden="1" x14ac:dyDescent="0.35">
      <c r="A717" s="2" t="s">
        <v>937</v>
      </c>
      <c r="B717" s="2" t="s">
        <v>1031</v>
      </c>
      <c r="C717" s="30" t="s">
        <v>1068</v>
      </c>
      <c r="D717" s="26"/>
      <c r="E717" s="26"/>
      <c r="F717" s="26"/>
      <c r="G717" s="26"/>
      <c r="H717" s="10" t="s">
        <v>1077</v>
      </c>
      <c r="I717" s="14"/>
      <c r="J717" s="14"/>
      <c r="K717" s="18"/>
      <c r="M717" s="10">
        <v>25</v>
      </c>
      <c r="Q717" s="10"/>
      <c r="S717" s="1" t="s">
        <v>30</v>
      </c>
      <c r="T717" s="1">
        <v>2006</v>
      </c>
      <c r="U717" s="1">
        <v>2030</v>
      </c>
      <c r="V717" s="1">
        <v>1</v>
      </c>
      <c r="W717" s="1">
        <v>1</v>
      </c>
      <c r="X717" s="1" t="s">
        <v>32</v>
      </c>
      <c r="Y717" s="1" t="s">
        <v>32</v>
      </c>
      <c r="Z717" s="1"/>
      <c r="AB717" s="2">
        <v>0</v>
      </c>
    </row>
    <row r="718" spans="1:36" s="2" customFormat="1" hidden="1" x14ac:dyDescent="0.35">
      <c r="A718" s="2" t="s">
        <v>939</v>
      </c>
      <c r="B718" s="2" t="s">
        <v>1028</v>
      </c>
      <c r="C718" s="26" t="s">
        <v>932</v>
      </c>
      <c r="D718" s="26" t="s">
        <v>191</v>
      </c>
      <c r="E718" s="26"/>
      <c r="F718" s="26"/>
      <c r="G718" s="26"/>
      <c r="H718" s="10" t="s">
        <v>1077</v>
      </c>
      <c r="I718" s="10"/>
      <c r="J718" s="10"/>
      <c r="K718" s="1"/>
      <c r="L718" s="2" t="s">
        <v>191</v>
      </c>
      <c r="M718" s="10"/>
      <c r="Q718" s="10"/>
      <c r="S718" s="1" t="s">
        <v>45</v>
      </c>
      <c r="T718" s="1"/>
      <c r="U718" s="1"/>
      <c r="V718" s="1">
        <v>1</v>
      </c>
      <c r="W718" s="1">
        <v>0</v>
      </c>
      <c r="X718" s="1" t="s">
        <v>32</v>
      </c>
      <c r="Y718" s="1" t="s">
        <v>32</v>
      </c>
      <c r="Z718" s="1"/>
      <c r="AB718" s="2">
        <v>0</v>
      </c>
      <c r="AF718" s="2" t="s">
        <v>940</v>
      </c>
    </row>
    <row r="719" spans="1:36" s="10" customFormat="1" x14ac:dyDescent="0.35">
      <c r="A719" s="10" t="s">
        <v>939</v>
      </c>
      <c r="B719" s="10" t="s">
        <v>1029</v>
      </c>
      <c r="C719" s="10" t="s">
        <v>941</v>
      </c>
      <c r="D719" s="10" t="s">
        <v>191</v>
      </c>
      <c r="E719" s="10" t="s">
        <v>1152</v>
      </c>
      <c r="F719" s="10" t="s">
        <v>1168</v>
      </c>
      <c r="G719" s="10" t="s">
        <v>1117</v>
      </c>
      <c r="H719" s="10" t="s">
        <v>1077</v>
      </c>
      <c r="L719" s="10" t="s">
        <v>191</v>
      </c>
      <c r="M719" s="1"/>
      <c r="O719" s="56"/>
      <c r="P719" s="1"/>
      <c r="Q719" s="59"/>
      <c r="S719" s="10" t="s">
        <v>45</v>
      </c>
      <c r="U719" s="10">
        <v>2030</v>
      </c>
      <c r="V719" s="10">
        <v>1</v>
      </c>
      <c r="W719" s="10">
        <v>0</v>
      </c>
      <c r="X719" s="10" t="s">
        <v>32</v>
      </c>
      <c r="Y719" s="10" t="s">
        <v>32</v>
      </c>
      <c r="AB719" s="10">
        <v>0</v>
      </c>
      <c r="AF719" s="10" t="s">
        <v>940</v>
      </c>
    </row>
    <row r="720" spans="1:36" s="10" customFormat="1" x14ac:dyDescent="0.35">
      <c r="A720" s="10" t="s">
        <v>939</v>
      </c>
      <c r="B720" s="10" t="s">
        <v>1030</v>
      </c>
      <c r="I720" s="10" t="s">
        <v>1082</v>
      </c>
      <c r="M720" s="1"/>
      <c r="O720" s="56"/>
      <c r="P720" s="1"/>
      <c r="Q720" s="59"/>
    </row>
    <row r="721" spans="1:37" s="2" customFormat="1" ht="17" hidden="1" x14ac:dyDescent="0.35">
      <c r="A721" s="2" t="s">
        <v>939</v>
      </c>
      <c r="B721" s="2" t="s">
        <v>1031</v>
      </c>
      <c r="C721" s="30" t="s">
        <v>1069</v>
      </c>
      <c r="D721" s="26">
        <v>15</v>
      </c>
      <c r="E721" s="26"/>
      <c r="F721" s="26"/>
      <c r="G721" s="26"/>
      <c r="H721" s="2" t="s">
        <v>1076</v>
      </c>
      <c r="I721" s="14"/>
      <c r="J721" s="14"/>
      <c r="K721" s="18"/>
      <c r="L721" s="2">
        <v>15</v>
      </c>
      <c r="M721" s="10"/>
      <c r="P721" s="2">
        <v>15</v>
      </c>
      <c r="Q721" s="10"/>
      <c r="S721" s="1" t="s">
        <v>45</v>
      </c>
      <c r="T721" s="1"/>
      <c r="U721" s="1"/>
      <c r="V721" s="1">
        <v>1</v>
      </c>
      <c r="W721" s="1">
        <v>1</v>
      </c>
      <c r="X721" s="1" t="s">
        <v>32</v>
      </c>
      <c r="Y721" s="1" t="s">
        <v>32</v>
      </c>
      <c r="Z721" s="1"/>
      <c r="AB721" s="2">
        <v>0</v>
      </c>
    </row>
    <row r="722" spans="1:37" s="2" customFormat="1" hidden="1" x14ac:dyDescent="0.35">
      <c r="A722" s="2" t="s">
        <v>942</v>
      </c>
      <c r="B722" s="2" t="s">
        <v>1028</v>
      </c>
      <c r="C722" s="26" t="s">
        <v>943</v>
      </c>
      <c r="D722" s="26" t="s">
        <v>944</v>
      </c>
      <c r="E722" s="26"/>
      <c r="F722" s="26"/>
      <c r="G722" s="26" t="s">
        <v>157</v>
      </c>
      <c r="H722" s="10" t="s">
        <v>1077</v>
      </c>
      <c r="I722" s="10"/>
      <c r="J722" s="10"/>
      <c r="K722" s="1"/>
      <c r="L722" s="2" t="s">
        <v>944</v>
      </c>
      <c r="M722" s="10"/>
      <c r="N722" s="2" t="s">
        <v>945</v>
      </c>
      <c r="P722" s="2">
        <v>28</v>
      </c>
      <c r="Q722" s="10"/>
      <c r="S722" s="1"/>
      <c r="T722" s="1">
        <v>2010</v>
      </c>
      <c r="U722" s="1">
        <v>2030</v>
      </c>
      <c r="V722" s="1">
        <v>1</v>
      </c>
      <c r="W722" s="1">
        <v>1</v>
      </c>
      <c r="X722" s="1" t="s">
        <v>51</v>
      </c>
      <c r="Y722" s="2" t="s">
        <v>283</v>
      </c>
      <c r="AB722" s="2">
        <v>0</v>
      </c>
      <c r="AF722" s="2" t="s">
        <v>946</v>
      </c>
    </row>
    <row r="723" spans="1:37" s="10" customFormat="1" ht="17" x14ac:dyDescent="0.35">
      <c r="A723" s="10" t="s">
        <v>942</v>
      </c>
      <c r="B723" s="10" t="s">
        <v>1029</v>
      </c>
      <c r="C723" s="14" t="s">
        <v>284</v>
      </c>
      <c r="D723" s="10" t="s">
        <v>944</v>
      </c>
      <c r="E723" s="10" t="s">
        <v>1152</v>
      </c>
      <c r="F723" s="10" t="s">
        <v>1168</v>
      </c>
      <c r="G723" s="10" t="s">
        <v>157</v>
      </c>
      <c r="H723" s="10" t="s">
        <v>1077</v>
      </c>
      <c r="L723" s="10" t="s">
        <v>944</v>
      </c>
      <c r="M723" s="1"/>
      <c r="N723" s="10" t="s">
        <v>945</v>
      </c>
      <c r="O723" s="56"/>
      <c r="P723" s="1">
        <v>28</v>
      </c>
      <c r="Q723" s="59"/>
      <c r="T723" s="10">
        <v>2010</v>
      </c>
      <c r="U723" s="10">
        <v>2030</v>
      </c>
      <c r="V723" s="10">
        <v>1</v>
      </c>
      <c r="W723" s="10">
        <v>1</v>
      </c>
      <c r="X723" s="10" t="s">
        <v>51</v>
      </c>
      <c r="Y723" s="10" t="s">
        <v>283</v>
      </c>
      <c r="AB723" s="10">
        <v>0</v>
      </c>
      <c r="AF723" s="10" t="s">
        <v>946</v>
      </c>
    </row>
    <row r="724" spans="1:37" s="10" customFormat="1" ht="17" x14ac:dyDescent="0.35">
      <c r="A724" s="10" t="s">
        <v>942</v>
      </c>
      <c r="B724" s="10" t="s">
        <v>1030</v>
      </c>
      <c r="C724" s="33">
        <v>44479</v>
      </c>
      <c r="D724" s="10">
        <v>45</v>
      </c>
      <c r="E724" s="10" t="s">
        <v>1152</v>
      </c>
      <c r="F724" s="10" t="s">
        <v>1168</v>
      </c>
      <c r="G724" s="10" t="s">
        <v>53</v>
      </c>
      <c r="H724" s="10" t="s">
        <v>1077</v>
      </c>
      <c r="L724" s="10">
        <v>45</v>
      </c>
      <c r="M724" s="1"/>
      <c r="N724" s="10">
        <v>27</v>
      </c>
      <c r="O724" s="56"/>
      <c r="P724" s="1">
        <v>18</v>
      </c>
      <c r="Q724" s="59"/>
      <c r="T724" s="10">
        <v>2010</v>
      </c>
      <c r="U724" s="10">
        <v>2030</v>
      </c>
      <c r="V724" s="10">
        <v>1</v>
      </c>
      <c r="W724" s="10">
        <v>1</v>
      </c>
      <c r="X724" s="10" t="s">
        <v>51</v>
      </c>
      <c r="Y724" s="10" t="s">
        <v>283</v>
      </c>
      <c r="AB724" s="10">
        <v>0</v>
      </c>
      <c r="AF724" s="10" t="s">
        <v>947</v>
      </c>
      <c r="AJ724" s="10" t="s">
        <v>948</v>
      </c>
    </row>
    <row r="725" spans="1:37" s="2" customFormat="1" hidden="1" x14ac:dyDescent="0.35">
      <c r="A725" s="2" t="s">
        <v>942</v>
      </c>
      <c r="B725" s="2" t="s">
        <v>1031</v>
      </c>
      <c r="C725" s="26"/>
      <c r="D725" s="26"/>
      <c r="E725" s="26"/>
      <c r="F725" s="26"/>
      <c r="G725" s="26"/>
      <c r="H725" s="10"/>
      <c r="I725" s="10"/>
      <c r="J725" s="10"/>
      <c r="K725" s="1"/>
      <c r="M725" s="10"/>
      <c r="Q725" s="10"/>
      <c r="S725" s="1"/>
      <c r="T725" s="1"/>
      <c r="U725" s="1"/>
      <c r="V725" s="1"/>
      <c r="W725" s="1"/>
      <c r="X725" s="1"/>
      <c r="Y725" s="1"/>
      <c r="Z725" s="1"/>
    </row>
    <row r="726" spans="1:37" s="2" customFormat="1" hidden="1" x14ac:dyDescent="0.35">
      <c r="A726" s="2" t="s">
        <v>949</v>
      </c>
      <c r="B726" s="2" t="s">
        <v>1028</v>
      </c>
      <c r="C726" s="26" t="s">
        <v>140</v>
      </c>
      <c r="D726" s="26">
        <v>21</v>
      </c>
      <c r="E726" s="26"/>
      <c r="F726" s="26"/>
      <c r="G726" s="26" t="s">
        <v>53</v>
      </c>
      <c r="H726" s="10" t="s">
        <v>1077</v>
      </c>
      <c r="I726" s="10"/>
      <c r="J726" s="10"/>
      <c r="K726" s="1"/>
      <c r="L726" s="2">
        <v>21</v>
      </c>
      <c r="M726" s="10"/>
      <c r="Q726" s="10"/>
      <c r="S726" s="1" t="s">
        <v>45</v>
      </c>
      <c r="T726" s="1"/>
      <c r="U726" s="1">
        <v>2030</v>
      </c>
      <c r="V726" s="1">
        <v>1</v>
      </c>
      <c r="W726" s="1">
        <v>0</v>
      </c>
      <c r="X726" s="1" t="s">
        <v>32</v>
      </c>
      <c r="Y726" s="1" t="s">
        <v>32</v>
      </c>
      <c r="Z726" s="1"/>
      <c r="AB726" s="2">
        <v>0</v>
      </c>
      <c r="AF726" s="2" t="s">
        <v>950</v>
      </c>
    </row>
    <row r="727" spans="1:37" s="10" customFormat="1" ht="17" x14ac:dyDescent="0.35">
      <c r="A727" s="10" t="s">
        <v>949</v>
      </c>
      <c r="B727" s="10" t="s">
        <v>1029</v>
      </c>
      <c r="C727" s="14" t="s">
        <v>1156</v>
      </c>
      <c r="D727" s="10">
        <v>21</v>
      </c>
      <c r="E727" s="10" t="s">
        <v>1183</v>
      </c>
      <c r="F727" s="10" t="s">
        <v>1168</v>
      </c>
      <c r="G727" s="10" t="s">
        <v>53</v>
      </c>
      <c r="H727" s="10" t="s">
        <v>1077</v>
      </c>
      <c r="L727" s="10">
        <v>21</v>
      </c>
      <c r="M727" s="1"/>
      <c r="O727" s="56"/>
      <c r="P727" s="1"/>
      <c r="Q727" s="59"/>
      <c r="S727" s="10" t="s">
        <v>45</v>
      </c>
      <c r="U727" s="10">
        <v>2030</v>
      </c>
      <c r="V727" s="10">
        <v>1</v>
      </c>
      <c r="W727" s="10">
        <v>0</v>
      </c>
      <c r="X727" s="10" t="s">
        <v>32</v>
      </c>
      <c r="Y727" s="10" t="s">
        <v>32</v>
      </c>
      <c r="AB727" s="10">
        <v>0</v>
      </c>
      <c r="AF727" s="10" t="s">
        <v>950</v>
      </c>
    </row>
    <row r="728" spans="1:37" s="10" customFormat="1" x14ac:dyDescent="0.35">
      <c r="A728" s="10" t="s">
        <v>949</v>
      </c>
      <c r="B728" s="10" t="s">
        <v>1030</v>
      </c>
      <c r="C728" s="10" t="s">
        <v>951</v>
      </c>
      <c r="D728" s="10">
        <v>41</v>
      </c>
      <c r="E728" s="10" t="s">
        <v>1183</v>
      </c>
      <c r="F728" s="10" t="s">
        <v>1168</v>
      </c>
      <c r="G728" s="10" t="s">
        <v>48</v>
      </c>
      <c r="H728" s="10" t="s">
        <v>1077</v>
      </c>
      <c r="L728" s="10">
        <v>41</v>
      </c>
      <c r="M728" s="1"/>
      <c r="O728" s="56"/>
      <c r="P728" s="1"/>
      <c r="Q728" s="59"/>
      <c r="T728" s="10">
        <v>2012</v>
      </c>
      <c r="U728" s="10">
        <v>2030</v>
      </c>
      <c r="V728" s="10">
        <v>1</v>
      </c>
      <c r="W728" s="10">
        <v>1</v>
      </c>
      <c r="X728" s="10" t="s">
        <v>51</v>
      </c>
      <c r="Y728" s="10" t="s">
        <v>51</v>
      </c>
      <c r="AB728" s="10">
        <v>0</v>
      </c>
      <c r="AF728" s="10" t="s">
        <v>950</v>
      </c>
    </row>
    <row r="729" spans="1:37" s="2" customFormat="1" ht="17" hidden="1" x14ac:dyDescent="0.35">
      <c r="A729" s="2" t="s">
        <v>949</v>
      </c>
      <c r="B729" s="2" t="s">
        <v>1031</v>
      </c>
      <c r="C729" s="31">
        <v>45911</v>
      </c>
      <c r="D729" s="26"/>
      <c r="E729" s="26"/>
      <c r="F729" s="26"/>
      <c r="G729" s="26"/>
      <c r="H729" s="10" t="s">
        <v>1077</v>
      </c>
      <c r="I729" s="23"/>
      <c r="J729" s="23"/>
      <c r="K729" s="19"/>
      <c r="M729" s="10">
        <v>466000</v>
      </c>
      <c r="Q729" s="10"/>
      <c r="S729" s="1" t="s">
        <v>30</v>
      </c>
      <c r="T729" s="1"/>
      <c r="U729" s="1">
        <v>2035</v>
      </c>
      <c r="V729" s="1"/>
      <c r="W729" s="1"/>
      <c r="X729" s="1"/>
      <c r="Y729" s="1"/>
      <c r="Z729" s="1"/>
      <c r="AB729" s="2">
        <v>0</v>
      </c>
    </row>
    <row r="730" spans="1:37" s="2" customFormat="1" hidden="1" x14ac:dyDescent="0.35">
      <c r="A730" s="2" t="s">
        <v>952</v>
      </c>
      <c r="B730" s="2" t="s">
        <v>1028</v>
      </c>
      <c r="C730" s="26" t="s">
        <v>140</v>
      </c>
      <c r="D730" s="26"/>
      <c r="E730" s="26"/>
      <c r="F730" s="26"/>
      <c r="G730" s="26"/>
      <c r="H730" s="10"/>
      <c r="I730" s="10"/>
      <c r="J730" s="10"/>
      <c r="K730" s="1"/>
      <c r="M730" s="10"/>
      <c r="Q730" s="10"/>
      <c r="S730" s="1"/>
      <c r="T730" s="1">
        <v>2010</v>
      </c>
      <c r="U730" s="1">
        <v>2030</v>
      </c>
      <c r="V730" s="1">
        <v>1</v>
      </c>
      <c r="W730" s="1">
        <v>1</v>
      </c>
      <c r="X730" s="1" t="s">
        <v>51</v>
      </c>
      <c r="Y730" s="2" t="s">
        <v>283</v>
      </c>
      <c r="AB730" s="2">
        <v>0</v>
      </c>
      <c r="AF730" s="2" t="s">
        <v>953</v>
      </c>
      <c r="AK730" s="2" t="s">
        <v>954</v>
      </c>
    </row>
    <row r="731" spans="1:37" s="10" customFormat="1" x14ac:dyDescent="0.35">
      <c r="A731" s="10" t="s">
        <v>952</v>
      </c>
      <c r="B731" s="10" t="s">
        <v>1029</v>
      </c>
      <c r="C731" s="10" t="s">
        <v>955</v>
      </c>
      <c r="I731" s="10" t="s">
        <v>1087</v>
      </c>
      <c r="M731" s="1"/>
      <c r="O731" s="56"/>
      <c r="P731" s="1"/>
      <c r="Q731" s="59"/>
      <c r="T731" s="10">
        <v>2010</v>
      </c>
      <c r="U731" s="10">
        <v>2030</v>
      </c>
      <c r="V731" s="10">
        <v>1</v>
      </c>
      <c r="W731" s="10">
        <v>1</v>
      </c>
      <c r="X731" s="10" t="s">
        <v>51</v>
      </c>
      <c r="Y731" s="10" t="s">
        <v>283</v>
      </c>
      <c r="AB731" s="10">
        <v>0</v>
      </c>
      <c r="AF731" s="10" t="s">
        <v>953</v>
      </c>
      <c r="AK731" s="10" t="s">
        <v>954</v>
      </c>
    </row>
    <row r="732" spans="1:37" s="10" customFormat="1" x14ac:dyDescent="0.35">
      <c r="A732" s="10" t="s">
        <v>952</v>
      </c>
      <c r="B732" s="10" t="s">
        <v>1030</v>
      </c>
      <c r="C732" s="10" t="s">
        <v>956</v>
      </c>
      <c r="D732" s="10">
        <v>20</v>
      </c>
      <c r="E732" s="10" t="s">
        <v>1091</v>
      </c>
      <c r="F732" s="10" t="s">
        <v>1091</v>
      </c>
      <c r="G732" s="10" t="s">
        <v>929</v>
      </c>
      <c r="H732" s="10" t="s">
        <v>1077</v>
      </c>
      <c r="L732" s="10">
        <v>20</v>
      </c>
      <c r="M732" s="1"/>
      <c r="O732" s="56"/>
      <c r="P732" s="1"/>
      <c r="Q732" s="59"/>
      <c r="T732" s="10">
        <v>2010</v>
      </c>
      <c r="U732" s="10">
        <v>2030</v>
      </c>
      <c r="V732" s="10">
        <v>1</v>
      </c>
      <c r="W732" s="10">
        <v>1</v>
      </c>
      <c r="X732" s="10" t="s">
        <v>51</v>
      </c>
      <c r="Y732" s="10" t="s">
        <v>283</v>
      </c>
      <c r="AB732" s="10">
        <v>0</v>
      </c>
      <c r="AF732" s="10" t="s">
        <v>957</v>
      </c>
    </row>
    <row r="733" spans="1:37" s="2" customFormat="1" hidden="1" x14ac:dyDescent="0.35">
      <c r="A733" s="2" t="s">
        <v>952</v>
      </c>
      <c r="B733" s="2" t="s">
        <v>1031</v>
      </c>
      <c r="C733" s="26"/>
      <c r="D733" s="26"/>
      <c r="E733" s="26"/>
      <c r="F733" s="26"/>
      <c r="G733" s="26"/>
      <c r="H733" s="10"/>
      <c r="I733" s="10"/>
      <c r="J733" s="10"/>
      <c r="K733" s="1"/>
      <c r="M733" s="10"/>
      <c r="Q733" s="10"/>
      <c r="S733" s="1"/>
      <c r="T733" s="1"/>
      <c r="U733" s="1"/>
      <c r="V733" s="1"/>
      <c r="W733" s="1"/>
      <c r="X733" s="1"/>
      <c r="Y733" s="1"/>
      <c r="Z733" s="1"/>
    </row>
    <row r="734" spans="1:37" s="2" customFormat="1" hidden="1" x14ac:dyDescent="0.35">
      <c r="A734" s="2" t="s">
        <v>958</v>
      </c>
      <c r="B734" s="2" t="s">
        <v>1028</v>
      </c>
      <c r="C734" s="26" t="s">
        <v>959</v>
      </c>
      <c r="D734" s="26">
        <v>60</v>
      </c>
      <c r="E734" s="26"/>
      <c r="F734" s="26"/>
      <c r="G734" s="26" t="s">
        <v>929</v>
      </c>
      <c r="H734" s="10" t="s">
        <v>1077</v>
      </c>
      <c r="I734" s="10"/>
      <c r="J734" s="10"/>
      <c r="K734" s="1"/>
      <c r="L734" s="2">
        <v>60</v>
      </c>
      <c r="M734" s="10"/>
      <c r="Q734" s="10"/>
      <c r="S734" s="1"/>
      <c r="T734" s="1">
        <v>2010</v>
      </c>
      <c r="U734" s="1">
        <v>2030</v>
      </c>
      <c r="V734" s="1">
        <v>1</v>
      </c>
      <c r="W734" s="1">
        <v>1</v>
      </c>
      <c r="X734" s="1" t="s">
        <v>51</v>
      </c>
      <c r="Y734" s="1" t="s">
        <v>51</v>
      </c>
      <c r="Z734" s="1"/>
      <c r="AB734" s="2">
        <v>0</v>
      </c>
      <c r="AF734" s="2" t="s">
        <v>960</v>
      </c>
    </row>
    <row r="735" spans="1:37" s="10" customFormat="1" x14ac:dyDescent="0.35">
      <c r="A735" s="10" t="s">
        <v>958</v>
      </c>
      <c r="B735" s="10" t="s">
        <v>1029</v>
      </c>
      <c r="C735" s="10" t="s">
        <v>143</v>
      </c>
      <c r="D735" s="10">
        <v>60</v>
      </c>
      <c r="E735" s="10" t="s">
        <v>1184</v>
      </c>
      <c r="F735" s="10" t="s">
        <v>1168</v>
      </c>
      <c r="G735" s="10" t="s">
        <v>929</v>
      </c>
      <c r="H735" s="10" t="s">
        <v>1077</v>
      </c>
      <c r="L735" s="10">
        <v>60</v>
      </c>
      <c r="M735" s="1"/>
      <c r="O735" s="56"/>
      <c r="P735" s="1"/>
      <c r="Q735" s="59"/>
      <c r="T735" s="10">
        <v>2010</v>
      </c>
      <c r="U735" s="10">
        <v>2030</v>
      </c>
      <c r="V735" s="10">
        <v>1</v>
      </c>
      <c r="W735" s="10">
        <v>1</v>
      </c>
      <c r="X735" s="10" t="s">
        <v>51</v>
      </c>
      <c r="Y735" s="10" t="s">
        <v>51</v>
      </c>
      <c r="AB735" s="10">
        <v>0</v>
      </c>
      <c r="AF735" s="10" t="s">
        <v>960</v>
      </c>
    </row>
    <row r="736" spans="1:37" s="10" customFormat="1" x14ac:dyDescent="0.35">
      <c r="A736" s="10" t="s">
        <v>958</v>
      </c>
      <c r="B736" s="10" t="s">
        <v>1030</v>
      </c>
      <c r="C736" s="10" t="s">
        <v>961</v>
      </c>
      <c r="D736" s="10">
        <v>60</v>
      </c>
      <c r="E736" s="10" t="s">
        <v>1184</v>
      </c>
      <c r="F736" s="10" t="s">
        <v>1168</v>
      </c>
      <c r="G736" s="10" t="s">
        <v>929</v>
      </c>
      <c r="H736" s="10" t="s">
        <v>1077</v>
      </c>
      <c r="L736" s="10">
        <v>60</v>
      </c>
      <c r="M736" s="1"/>
      <c r="O736" s="56"/>
      <c r="P736" s="1"/>
      <c r="Q736" s="59"/>
      <c r="T736" s="10">
        <v>2010</v>
      </c>
      <c r="U736" s="10">
        <v>2030</v>
      </c>
      <c r="V736" s="10">
        <v>1</v>
      </c>
      <c r="W736" s="10">
        <v>1</v>
      </c>
      <c r="X736" s="10" t="s">
        <v>51</v>
      </c>
      <c r="Y736" s="10" t="s">
        <v>51</v>
      </c>
      <c r="AB736" s="10">
        <v>0</v>
      </c>
      <c r="AF736" s="10" t="s">
        <v>962</v>
      </c>
    </row>
    <row r="737" spans="1:38" s="2" customFormat="1" ht="17" hidden="1" x14ac:dyDescent="0.35">
      <c r="A737" s="2" t="s">
        <v>958</v>
      </c>
      <c r="B737" s="2" t="s">
        <v>1031</v>
      </c>
      <c r="C737" s="30" t="s">
        <v>1044</v>
      </c>
      <c r="D737" s="26">
        <v>80</v>
      </c>
      <c r="E737" s="26"/>
      <c r="F737" s="26"/>
      <c r="G737" s="26"/>
      <c r="H737" s="10" t="s">
        <v>1077</v>
      </c>
      <c r="I737" s="14"/>
      <c r="J737" s="14"/>
      <c r="K737" s="18"/>
      <c r="L737" s="2">
        <v>80</v>
      </c>
      <c r="M737" s="10"/>
      <c r="P737" s="2">
        <v>80</v>
      </c>
      <c r="Q737" s="10"/>
      <c r="S737" s="1"/>
      <c r="T737" s="1">
        <v>2014</v>
      </c>
      <c r="U737" s="1">
        <v>2030</v>
      </c>
      <c r="V737" s="1">
        <v>1</v>
      </c>
      <c r="W737" s="1">
        <v>1</v>
      </c>
      <c r="X737" s="1" t="s">
        <v>51</v>
      </c>
      <c r="Y737" s="1" t="s">
        <v>51</v>
      </c>
      <c r="Z737" s="1"/>
      <c r="AB737" s="2">
        <v>0</v>
      </c>
    </row>
    <row r="738" spans="1:38" s="2" customFormat="1" hidden="1" x14ac:dyDescent="0.35">
      <c r="A738" s="2" t="s">
        <v>963</v>
      </c>
      <c r="B738" s="2" t="s">
        <v>1028</v>
      </c>
      <c r="C738" s="26" t="s">
        <v>369</v>
      </c>
      <c r="D738" s="26">
        <v>22</v>
      </c>
      <c r="E738" s="26"/>
      <c r="F738" s="26"/>
      <c r="G738" s="26" t="s">
        <v>929</v>
      </c>
      <c r="H738" s="10" t="s">
        <v>1077</v>
      </c>
      <c r="I738" s="10"/>
      <c r="J738" s="10"/>
      <c r="K738" s="1"/>
      <c r="L738" s="2">
        <v>22</v>
      </c>
      <c r="M738" s="10"/>
      <c r="P738" s="2">
        <v>22</v>
      </c>
      <c r="Q738" s="10"/>
      <c r="S738" s="1" t="s">
        <v>45</v>
      </c>
      <c r="T738" s="1"/>
      <c r="U738" s="1">
        <v>2030</v>
      </c>
      <c r="V738" s="1">
        <v>1</v>
      </c>
      <c r="W738" s="1">
        <v>1</v>
      </c>
      <c r="X738" s="1" t="s">
        <v>32</v>
      </c>
      <c r="Y738" s="1" t="s">
        <v>32</v>
      </c>
      <c r="Z738" s="1"/>
      <c r="AB738" s="2">
        <v>0</v>
      </c>
      <c r="AF738" s="2" t="s">
        <v>964</v>
      </c>
    </row>
    <row r="739" spans="1:38" s="10" customFormat="1" x14ac:dyDescent="0.35">
      <c r="A739" s="10" t="s">
        <v>963</v>
      </c>
      <c r="B739" s="10" t="s">
        <v>1029</v>
      </c>
      <c r="C739" s="10" t="s">
        <v>40</v>
      </c>
      <c r="D739" s="10">
        <v>22</v>
      </c>
      <c r="E739" s="10" t="s">
        <v>1152</v>
      </c>
      <c r="F739" s="10" t="s">
        <v>1097</v>
      </c>
      <c r="G739" s="10" t="s">
        <v>929</v>
      </c>
      <c r="H739" s="10" t="s">
        <v>1077</v>
      </c>
      <c r="L739" s="10">
        <v>22</v>
      </c>
      <c r="M739" s="1"/>
      <c r="O739" s="56"/>
      <c r="P739" s="1">
        <v>22</v>
      </c>
      <c r="Q739" s="59"/>
      <c r="S739" s="10" t="s">
        <v>45</v>
      </c>
      <c r="U739" s="10">
        <v>2030</v>
      </c>
      <c r="V739" s="10">
        <v>1</v>
      </c>
      <c r="W739" s="10">
        <v>1</v>
      </c>
      <c r="X739" s="10" t="s">
        <v>32</v>
      </c>
      <c r="Y739" s="10" t="s">
        <v>32</v>
      </c>
      <c r="AB739" s="10">
        <v>0</v>
      </c>
      <c r="AF739" s="10" t="s">
        <v>964</v>
      </c>
      <c r="AJ739" s="10" t="s">
        <v>965</v>
      </c>
    </row>
    <row r="740" spans="1:38" s="10" customFormat="1" ht="17" x14ac:dyDescent="0.35">
      <c r="A740" s="10" t="s">
        <v>963</v>
      </c>
      <c r="B740" s="10" t="s">
        <v>1030</v>
      </c>
      <c r="C740" s="23">
        <v>44904</v>
      </c>
      <c r="D740" s="10" t="s">
        <v>966</v>
      </c>
      <c r="E740" s="41" t="s">
        <v>1152</v>
      </c>
      <c r="F740" s="10" t="s">
        <v>1168</v>
      </c>
      <c r="G740" s="10" t="s">
        <v>929</v>
      </c>
      <c r="H740" s="10" t="s">
        <v>1077</v>
      </c>
      <c r="L740" s="10" t="s">
        <v>966</v>
      </c>
      <c r="M740" s="1"/>
      <c r="N740" s="10">
        <v>5.9</v>
      </c>
      <c r="O740" s="56"/>
      <c r="P740" s="1">
        <v>18.8</v>
      </c>
      <c r="Q740" s="59"/>
      <c r="S740" s="10" t="s">
        <v>45</v>
      </c>
      <c r="U740" s="10">
        <v>2030</v>
      </c>
      <c r="V740" s="10">
        <v>1</v>
      </c>
      <c r="W740" s="10">
        <v>1</v>
      </c>
      <c r="X740" s="10" t="s">
        <v>32</v>
      </c>
      <c r="Y740" s="10" t="s">
        <v>32</v>
      </c>
      <c r="AB740" s="10">
        <v>0</v>
      </c>
      <c r="AF740" s="10" t="s">
        <v>967</v>
      </c>
    </row>
    <row r="741" spans="1:38" s="2" customFormat="1" hidden="1" x14ac:dyDescent="0.35">
      <c r="A741" s="2" t="s">
        <v>963</v>
      </c>
      <c r="B741" s="2" t="s">
        <v>1031</v>
      </c>
      <c r="C741" s="26"/>
      <c r="D741" s="26"/>
      <c r="E741" s="26"/>
      <c r="F741" s="26"/>
      <c r="G741" s="26"/>
      <c r="H741" s="10"/>
      <c r="I741" s="10"/>
      <c r="J741" s="10"/>
      <c r="K741" s="1"/>
      <c r="M741" s="10"/>
      <c r="Q741" s="10"/>
      <c r="S741" s="1"/>
      <c r="T741" s="1"/>
      <c r="U741" s="1"/>
      <c r="V741" s="1"/>
      <c r="W741" s="1"/>
      <c r="X741" s="1"/>
      <c r="Y741" s="1"/>
      <c r="Z741" s="1"/>
    </row>
    <row r="742" spans="1:38" s="2" customFormat="1" hidden="1" x14ac:dyDescent="0.35">
      <c r="A742" s="2" t="s">
        <v>968</v>
      </c>
      <c r="B742" s="2" t="s">
        <v>1028</v>
      </c>
      <c r="C742" s="26" t="s">
        <v>140</v>
      </c>
      <c r="D742" s="26" t="s">
        <v>686</v>
      </c>
      <c r="E742" s="26"/>
      <c r="F742" s="26"/>
      <c r="G742" s="26" t="s">
        <v>929</v>
      </c>
      <c r="H742" s="2" t="s">
        <v>1078</v>
      </c>
      <c r="I742" s="10"/>
      <c r="J742" s="10"/>
      <c r="K742" s="1"/>
      <c r="L742" s="2" t="s">
        <v>686</v>
      </c>
      <c r="M742" s="10"/>
      <c r="N742" s="2" t="s">
        <v>686</v>
      </c>
      <c r="Q742" s="10"/>
      <c r="S742" s="1"/>
      <c r="T742" s="1">
        <v>1990</v>
      </c>
      <c r="U742" s="1">
        <v>2030</v>
      </c>
      <c r="V742" s="1">
        <v>0</v>
      </c>
      <c r="W742" s="1">
        <v>1</v>
      </c>
      <c r="X742" s="1" t="s">
        <v>51</v>
      </c>
      <c r="Y742" s="1" t="s">
        <v>51</v>
      </c>
      <c r="Z742" s="1"/>
      <c r="AB742" s="2">
        <v>0</v>
      </c>
      <c r="AF742" s="2" t="s">
        <v>969</v>
      </c>
    </row>
    <row r="743" spans="1:38" s="10" customFormat="1" x14ac:dyDescent="0.35">
      <c r="A743" s="10" t="s">
        <v>968</v>
      </c>
      <c r="B743" s="10" t="s">
        <v>1029</v>
      </c>
      <c r="C743" s="10" t="s">
        <v>691</v>
      </c>
      <c r="D743" s="10" t="s">
        <v>686</v>
      </c>
      <c r="E743" s="10" t="s">
        <v>1091</v>
      </c>
      <c r="F743" s="10" t="s">
        <v>1091</v>
      </c>
      <c r="G743" s="10" t="s">
        <v>929</v>
      </c>
      <c r="H743" s="10" t="s">
        <v>1078</v>
      </c>
      <c r="L743" s="10" t="s">
        <v>686</v>
      </c>
      <c r="M743" s="1"/>
      <c r="N743" s="10" t="s">
        <v>686</v>
      </c>
      <c r="O743" s="56"/>
      <c r="P743" s="1"/>
      <c r="Q743" s="59"/>
      <c r="T743" s="10">
        <v>1990</v>
      </c>
      <c r="U743" s="10">
        <v>2030</v>
      </c>
      <c r="V743" s="10">
        <v>0</v>
      </c>
      <c r="W743" s="10">
        <v>1</v>
      </c>
      <c r="X743" s="10" t="s">
        <v>51</v>
      </c>
      <c r="Y743" s="10" t="s">
        <v>51</v>
      </c>
      <c r="AB743" s="10">
        <v>0</v>
      </c>
      <c r="AF743" s="10" t="s">
        <v>969</v>
      </c>
    </row>
    <row r="744" spans="1:38" s="10" customFormat="1" x14ac:dyDescent="0.35">
      <c r="A744" s="10" t="s">
        <v>968</v>
      </c>
      <c r="B744" s="10" t="s">
        <v>1030</v>
      </c>
      <c r="C744" s="10" t="s">
        <v>611</v>
      </c>
      <c r="D744" s="10">
        <v>65</v>
      </c>
      <c r="E744" s="10" t="s">
        <v>1091</v>
      </c>
      <c r="F744" s="10" t="s">
        <v>1091</v>
      </c>
      <c r="G744" s="10" t="s">
        <v>929</v>
      </c>
      <c r="H744" s="10" t="s">
        <v>1078</v>
      </c>
      <c r="L744" s="10">
        <v>65</v>
      </c>
      <c r="M744" s="1"/>
      <c r="N744" s="10">
        <v>65</v>
      </c>
      <c r="O744" s="56"/>
      <c r="P744" s="1"/>
      <c r="Q744" s="59"/>
      <c r="T744" s="10">
        <v>1990</v>
      </c>
      <c r="U744" s="10">
        <v>2030</v>
      </c>
      <c r="V744" s="10">
        <v>1</v>
      </c>
      <c r="W744" s="10">
        <v>1</v>
      </c>
      <c r="X744" s="10" t="s">
        <v>51</v>
      </c>
      <c r="Y744" s="10" t="s">
        <v>51</v>
      </c>
      <c r="AB744" s="10">
        <v>0</v>
      </c>
      <c r="AF744" s="10" t="s">
        <v>970</v>
      </c>
      <c r="AJ744" s="10" t="s">
        <v>971</v>
      </c>
    </row>
    <row r="745" spans="1:38" s="2" customFormat="1" ht="17" hidden="1" x14ac:dyDescent="0.35">
      <c r="A745" s="2" t="s">
        <v>968</v>
      </c>
      <c r="B745" s="2" t="s">
        <v>1031</v>
      </c>
      <c r="C745" s="31">
        <v>45972</v>
      </c>
      <c r="D745" s="26">
        <v>65</v>
      </c>
      <c r="E745" s="26"/>
      <c r="F745" s="26"/>
      <c r="G745" s="26"/>
      <c r="H745" s="2" t="s">
        <v>1078</v>
      </c>
      <c r="I745" s="23"/>
      <c r="J745" s="23"/>
      <c r="K745" s="19"/>
      <c r="L745" s="2">
        <v>65</v>
      </c>
      <c r="M745" s="10"/>
      <c r="N745" s="2">
        <v>65</v>
      </c>
      <c r="Q745" s="10"/>
      <c r="S745" s="1"/>
      <c r="T745" s="1">
        <v>1990</v>
      </c>
      <c r="U745" s="1">
        <v>2035</v>
      </c>
      <c r="V745" s="1">
        <v>1</v>
      </c>
      <c r="W745" s="1">
        <v>1</v>
      </c>
      <c r="X745" s="1" t="s">
        <v>51</v>
      </c>
      <c r="Y745" s="1" t="s">
        <v>51</v>
      </c>
      <c r="Z745" s="1"/>
      <c r="AB745" s="2">
        <v>0</v>
      </c>
    </row>
    <row r="746" spans="1:38" s="2" customFormat="1" hidden="1" x14ac:dyDescent="0.35">
      <c r="A746" s="2" t="s">
        <v>972</v>
      </c>
      <c r="B746" s="2" t="s">
        <v>1028</v>
      </c>
      <c r="C746" s="26" t="s">
        <v>973</v>
      </c>
      <c r="D746" s="26"/>
      <c r="E746" s="26"/>
      <c r="F746" s="26"/>
      <c r="G746" s="26"/>
      <c r="H746" s="10"/>
      <c r="I746" s="10"/>
      <c r="J746" s="10"/>
      <c r="K746" s="1"/>
      <c r="M746" s="10"/>
      <c r="Q746" s="10"/>
      <c r="S746" s="1"/>
      <c r="T746" s="1"/>
      <c r="U746" s="1"/>
      <c r="V746" s="1">
        <v>0</v>
      </c>
      <c r="W746" s="1">
        <v>1</v>
      </c>
      <c r="X746" s="1"/>
      <c r="Y746" s="1"/>
      <c r="Z746" s="1"/>
      <c r="AB746" s="2">
        <v>0</v>
      </c>
      <c r="AF746" s="2" t="s">
        <v>911</v>
      </c>
    </row>
    <row r="747" spans="1:38" s="10" customFormat="1" x14ac:dyDescent="0.35">
      <c r="A747" s="10" t="s">
        <v>972</v>
      </c>
      <c r="B747" s="10" t="s">
        <v>1029</v>
      </c>
      <c r="C747" s="10" t="s">
        <v>40</v>
      </c>
      <c r="I747" s="22" t="s">
        <v>1085</v>
      </c>
      <c r="M747" s="1"/>
      <c r="O747" s="56"/>
      <c r="P747" s="1"/>
      <c r="Q747" s="59"/>
      <c r="V747" s="10">
        <v>0</v>
      </c>
      <c r="W747" s="10">
        <v>1</v>
      </c>
      <c r="AB747" s="10">
        <v>0</v>
      </c>
      <c r="AF747" s="10" t="s">
        <v>911</v>
      </c>
    </row>
    <row r="748" spans="1:38" s="10" customFormat="1" ht="17" x14ac:dyDescent="0.35">
      <c r="A748" s="10" t="s">
        <v>972</v>
      </c>
      <c r="B748" s="10" t="s">
        <v>1030</v>
      </c>
      <c r="C748" s="33">
        <v>45237</v>
      </c>
      <c r="D748" s="10" t="s">
        <v>974</v>
      </c>
      <c r="E748" s="10" t="s">
        <v>1091</v>
      </c>
      <c r="F748" s="10" t="s">
        <v>1091</v>
      </c>
      <c r="G748" s="10" t="s">
        <v>976</v>
      </c>
      <c r="H748" s="10" t="s">
        <v>1078</v>
      </c>
      <c r="L748" s="10" t="s">
        <v>974</v>
      </c>
      <c r="M748" s="1"/>
      <c r="N748" s="10" t="s">
        <v>974</v>
      </c>
      <c r="O748" s="56"/>
      <c r="P748" s="1"/>
      <c r="Q748" s="59"/>
      <c r="T748" s="10" t="s">
        <v>975</v>
      </c>
      <c r="U748" s="10">
        <v>2030</v>
      </c>
      <c r="V748" s="10">
        <v>0</v>
      </c>
      <c r="W748" s="10">
        <v>1</v>
      </c>
      <c r="X748" s="10" t="s">
        <v>51</v>
      </c>
      <c r="Y748" s="10" t="s">
        <v>51</v>
      </c>
      <c r="AB748" s="10">
        <v>0</v>
      </c>
      <c r="AF748" s="10" t="s">
        <v>977</v>
      </c>
    </row>
    <row r="749" spans="1:38" s="2" customFormat="1" hidden="1" x14ac:dyDescent="0.35">
      <c r="A749" s="2" t="s">
        <v>972</v>
      </c>
      <c r="B749" s="2" t="s">
        <v>1031</v>
      </c>
      <c r="C749" s="26">
        <v>45454</v>
      </c>
      <c r="D749" s="26" t="s">
        <v>735</v>
      </c>
      <c r="E749" s="26"/>
      <c r="F749" s="26"/>
      <c r="G749" s="26" t="s">
        <v>976</v>
      </c>
      <c r="H749" s="2" t="s">
        <v>1078</v>
      </c>
      <c r="I749" s="10"/>
      <c r="J749" s="10"/>
      <c r="K749" s="1"/>
      <c r="L749" s="2" t="s">
        <v>735</v>
      </c>
      <c r="M749" s="10"/>
      <c r="N749" s="2" t="s">
        <v>735</v>
      </c>
      <c r="Q749" s="10"/>
      <c r="S749" s="1"/>
      <c r="T749" s="1" t="s">
        <v>975</v>
      </c>
      <c r="U749" s="1">
        <v>2035</v>
      </c>
      <c r="V749" s="1">
        <v>0</v>
      </c>
      <c r="W749" s="1">
        <v>1</v>
      </c>
      <c r="X749" s="1" t="s">
        <v>51</v>
      </c>
      <c r="Y749" s="1" t="s">
        <v>51</v>
      </c>
      <c r="Z749" s="1"/>
      <c r="AB749" s="2">
        <v>0</v>
      </c>
      <c r="AF749" s="2" t="s">
        <v>978</v>
      </c>
    </row>
    <row r="750" spans="1:38" s="2" customFormat="1" hidden="1" x14ac:dyDescent="0.35">
      <c r="A750" s="2" t="s">
        <v>979</v>
      </c>
      <c r="B750" s="2" t="s">
        <v>1028</v>
      </c>
      <c r="C750" s="26"/>
      <c r="D750" s="26"/>
      <c r="E750" s="26"/>
      <c r="F750" s="26"/>
      <c r="G750" s="26"/>
      <c r="H750" s="10"/>
      <c r="I750" s="10"/>
      <c r="J750" s="10"/>
      <c r="K750" s="1"/>
      <c r="M750" s="10"/>
      <c r="Q750" s="10"/>
      <c r="S750" s="1"/>
      <c r="T750" s="1"/>
      <c r="U750" s="1"/>
      <c r="V750" s="1"/>
      <c r="W750" s="1"/>
      <c r="X750" s="1"/>
      <c r="Y750" s="1"/>
      <c r="Z750" s="1"/>
    </row>
    <row r="751" spans="1:38" s="10" customFormat="1" ht="15.5" customHeight="1" x14ac:dyDescent="0.35">
      <c r="A751" s="10" t="s">
        <v>979</v>
      </c>
      <c r="B751" s="10" t="s">
        <v>1029</v>
      </c>
      <c r="C751" s="10" t="s">
        <v>335</v>
      </c>
      <c r="D751" s="10">
        <v>40</v>
      </c>
      <c r="E751" s="10" t="s">
        <v>1091</v>
      </c>
      <c r="F751" s="10" t="s">
        <v>1091</v>
      </c>
      <c r="G751" s="10" t="s">
        <v>53</v>
      </c>
      <c r="H751" s="10" t="s">
        <v>1078</v>
      </c>
      <c r="L751" s="10">
        <v>40</v>
      </c>
      <c r="M751" s="1"/>
      <c r="N751" s="10">
        <v>40</v>
      </c>
      <c r="O751" s="56"/>
      <c r="P751" s="1"/>
      <c r="Q751" s="59"/>
      <c r="T751" s="10">
        <v>1990</v>
      </c>
      <c r="U751" s="10">
        <v>2030</v>
      </c>
      <c r="V751" s="10">
        <v>0</v>
      </c>
      <c r="W751" s="10">
        <v>0</v>
      </c>
      <c r="X751" s="10" t="s">
        <v>51</v>
      </c>
      <c r="Y751" s="10" t="s">
        <v>51</v>
      </c>
      <c r="AB751" s="10">
        <v>1</v>
      </c>
      <c r="AC751" s="10">
        <v>2050</v>
      </c>
      <c r="AF751" s="10" t="s">
        <v>215</v>
      </c>
      <c r="AL751" s="10" t="s">
        <v>101</v>
      </c>
    </row>
    <row r="752" spans="1:38" s="10" customFormat="1" x14ac:dyDescent="0.35">
      <c r="A752" s="10" t="s">
        <v>979</v>
      </c>
      <c r="B752" s="10" t="s">
        <v>1030</v>
      </c>
      <c r="C752" s="10" t="s">
        <v>896</v>
      </c>
      <c r="D752" s="10">
        <v>68</v>
      </c>
      <c r="E752" s="10" t="s">
        <v>1091</v>
      </c>
      <c r="F752" s="10" t="s">
        <v>1091</v>
      </c>
      <c r="G752" s="10" t="s">
        <v>53</v>
      </c>
      <c r="H752" s="10" t="s">
        <v>1078</v>
      </c>
      <c r="L752" s="10">
        <v>68</v>
      </c>
      <c r="M752" s="1"/>
      <c r="N752" s="10">
        <v>68</v>
      </c>
      <c r="O752" s="56"/>
      <c r="P752" s="1"/>
      <c r="Q752" s="59"/>
      <c r="T752" s="10">
        <v>1990</v>
      </c>
      <c r="U752" s="10">
        <v>2030</v>
      </c>
      <c r="V752" s="10">
        <v>0</v>
      </c>
      <c r="W752" s="10">
        <v>0</v>
      </c>
      <c r="X752" s="10" t="s">
        <v>51</v>
      </c>
      <c r="Y752" s="10" t="s">
        <v>51</v>
      </c>
      <c r="AB752" s="10">
        <v>0</v>
      </c>
      <c r="AF752" s="10" t="s">
        <v>980</v>
      </c>
    </row>
    <row r="753" spans="1:38" s="2" customFormat="1" hidden="1" x14ac:dyDescent="0.35">
      <c r="A753" s="2" t="s">
        <v>979</v>
      </c>
      <c r="B753" s="2" t="s">
        <v>1031</v>
      </c>
      <c r="C753" s="26" t="s">
        <v>981</v>
      </c>
      <c r="D753" s="26" t="s">
        <v>982</v>
      </c>
      <c r="E753" s="26"/>
      <c r="F753" s="26"/>
      <c r="G753" s="26" t="s">
        <v>49</v>
      </c>
      <c r="H753" s="2" t="s">
        <v>1078</v>
      </c>
      <c r="I753" s="10"/>
      <c r="J753" s="10"/>
      <c r="K753" s="1"/>
      <c r="L753" s="2" t="s">
        <v>982</v>
      </c>
      <c r="M753" s="10"/>
      <c r="N753" s="2" t="s">
        <v>982</v>
      </c>
      <c r="Q753" s="10"/>
      <c r="S753" s="1"/>
      <c r="T753" s="1">
        <v>1990</v>
      </c>
      <c r="U753" s="1">
        <v>2035</v>
      </c>
      <c r="V753" s="1">
        <v>0</v>
      </c>
      <c r="W753" s="1">
        <v>1</v>
      </c>
      <c r="X753" s="1" t="s">
        <v>51</v>
      </c>
      <c r="Y753" s="1" t="s">
        <v>51</v>
      </c>
      <c r="Z753" s="1"/>
      <c r="AB753" s="2">
        <v>0</v>
      </c>
      <c r="AF753" s="2" t="s">
        <v>980</v>
      </c>
    </row>
    <row r="754" spans="1:38" s="2" customFormat="1" hidden="1" x14ac:dyDescent="0.35">
      <c r="A754" s="2" t="s">
        <v>983</v>
      </c>
      <c r="B754" s="2" t="s">
        <v>1028</v>
      </c>
      <c r="C754" s="26" t="s">
        <v>984</v>
      </c>
      <c r="D754" s="26">
        <v>27</v>
      </c>
      <c r="E754" s="26"/>
      <c r="F754" s="26"/>
      <c r="G754" s="26"/>
      <c r="H754" s="2" t="s">
        <v>1078</v>
      </c>
      <c r="I754" s="10"/>
      <c r="J754" s="10"/>
      <c r="K754" s="1"/>
      <c r="L754" s="2">
        <v>27</v>
      </c>
      <c r="M754" s="10"/>
      <c r="N754" s="2">
        <v>27</v>
      </c>
      <c r="Q754" s="10"/>
      <c r="S754" s="1"/>
      <c r="T754" s="1">
        <v>2005</v>
      </c>
      <c r="U754" s="1">
        <v>2025</v>
      </c>
      <c r="V754" s="1">
        <v>0</v>
      </c>
      <c r="W754" s="1">
        <v>0</v>
      </c>
      <c r="X754" s="1" t="s">
        <v>51</v>
      </c>
      <c r="Y754" s="1" t="s">
        <v>51</v>
      </c>
      <c r="Z754" s="1"/>
      <c r="AB754" s="2">
        <v>0</v>
      </c>
      <c r="AF754" s="2" t="s">
        <v>985</v>
      </c>
    </row>
    <row r="755" spans="1:38" s="10" customFormat="1" x14ac:dyDescent="0.35">
      <c r="A755" s="10" t="s">
        <v>983</v>
      </c>
      <c r="B755" s="10" t="s">
        <v>1029</v>
      </c>
      <c r="C755" s="10" t="s">
        <v>986</v>
      </c>
      <c r="D755" s="10">
        <v>27</v>
      </c>
      <c r="E755" s="10" t="s">
        <v>1185</v>
      </c>
      <c r="F755" s="10" t="s">
        <v>1091</v>
      </c>
      <c r="H755" s="10" t="s">
        <v>1078</v>
      </c>
      <c r="L755" s="10">
        <v>27</v>
      </c>
      <c r="M755" s="1"/>
      <c r="N755" s="10">
        <v>27</v>
      </c>
      <c r="O755" s="56"/>
      <c r="P755" s="1"/>
      <c r="Q755" s="59"/>
      <c r="T755" s="10">
        <v>2005</v>
      </c>
      <c r="U755" s="10">
        <v>2025</v>
      </c>
      <c r="V755" s="10">
        <v>0</v>
      </c>
      <c r="W755" s="10">
        <v>0</v>
      </c>
      <c r="X755" s="10" t="s">
        <v>51</v>
      </c>
      <c r="Y755" s="10" t="s">
        <v>51</v>
      </c>
      <c r="AB755" s="10">
        <v>0</v>
      </c>
      <c r="AF755" s="10" t="s">
        <v>985</v>
      </c>
    </row>
    <row r="756" spans="1:38" s="10" customFormat="1" x14ac:dyDescent="0.35">
      <c r="A756" s="10" t="s">
        <v>983</v>
      </c>
      <c r="B756" s="10" t="s">
        <v>1030</v>
      </c>
      <c r="C756" s="10" t="s">
        <v>987</v>
      </c>
      <c r="D756" s="10">
        <v>51</v>
      </c>
      <c r="E756" s="10" t="s">
        <v>1185</v>
      </c>
      <c r="F756" s="10" t="s">
        <v>1091</v>
      </c>
      <c r="H756" s="10" t="s">
        <v>1078</v>
      </c>
      <c r="L756" s="10">
        <v>51</v>
      </c>
      <c r="M756" s="1"/>
      <c r="N756" s="10">
        <v>51</v>
      </c>
      <c r="O756" s="56"/>
      <c r="P756" s="1"/>
      <c r="Q756" s="59"/>
      <c r="T756" s="10">
        <v>2005</v>
      </c>
      <c r="U756" s="10">
        <v>2030</v>
      </c>
      <c r="V756" s="10">
        <v>0</v>
      </c>
      <c r="W756" s="10">
        <v>0</v>
      </c>
      <c r="X756" s="10" t="s">
        <v>51</v>
      </c>
      <c r="Y756" s="10" t="s">
        <v>51</v>
      </c>
      <c r="AB756" s="10">
        <v>0</v>
      </c>
      <c r="AF756" s="10" t="s">
        <v>988</v>
      </c>
    </row>
    <row r="757" spans="1:38" s="2" customFormat="1" hidden="1" x14ac:dyDescent="0.35">
      <c r="A757" s="2" t="s">
        <v>983</v>
      </c>
      <c r="B757" s="2" t="s">
        <v>1031</v>
      </c>
      <c r="C757" s="26" t="s">
        <v>989</v>
      </c>
      <c r="D757" s="26">
        <v>63.5</v>
      </c>
      <c r="E757" s="26"/>
      <c r="F757" s="26"/>
      <c r="G757" s="26"/>
      <c r="H757" s="2" t="s">
        <v>1078</v>
      </c>
      <c r="I757" s="10"/>
      <c r="J757" s="10"/>
      <c r="K757" s="1"/>
      <c r="L757" s="2">
        <v>63.5</v>
      </c>
      <c r="M757" s="10"/>
      <c r="N757" s="2">
        <v>63.5</v>
      </c>
      <c r="Q757" s="10"/>
      <c r="S757" s="1"/>
      <c r="T757" s="1">
        <v>2005</v>
      </c>
      <c r="U757" s="1" t="s">
        <v>990</v>
      </c>
      <c r="V757" s="1">
        <v>0</v>
      </c>
      <c r="W757" s="1">
        <v>1</v>
      </c>
      <c r="X757" s="1" t="s">
        <v>51</v>
      </c>
      <c r="Y757" s="1" t="s">
        <v>51</v>
      </c>
      <c r="Z757" s="1"/>
      <c r="AB757" s="2">
        <v>0</v>
      </c>
      <c r="AF757" s="2" t="s">
        <v>988</v>
      </c>
    </row>
    <row r="758" spans="1:38" s="2" customFormat="1" hidden="1" x14ac:dyDescent="0.35">
      <c r="A758" s="2" t="s">
        <v>991</v>
      </c>
      <c r="B758" s="2" t="s">
        <v>1028</v>
      </c>
      <c r="C758" s="26" t="s">
        <v>315</v>
      </c>
      <c r="D758" s="26"/>
      <c r="E758" s="26"/>
      <c r="F758" s="26"/>
      <c r="G758" s="26"/>
      <c r="H758" s="10"/>
      <c r="I758" s="10"/>
      <c r="J758" s="10"/>
      <c r="K758" s="1"/>
      <c r="M758" s="10"/>
      <c r="Q758" s="10"/>
      <c r="S758" s="1"/>
      <c r="T758" s="1"/>
      <c r="U758" s="1">
        <v>2030</v>
      </c>
      <c r="V758" s="1">
        <v>1</v>
      </c>
      <c r="W758" s="1">
        <v>1</v>
      </c>
      <c r="X758" s="1" t="s">
        <v>51</v>
      </c>
      <c r="Y758" s="2" t="s">
        <v>283</v>
      </c>
      <c r="AB758" s="2">
        <v>0</v>
      </c>
      <c r="AF758" s="2" t="s">
        <v>992</v>
      </c>
    </row>
    <row r="759" spans="1:38" s="10" customFormat="1" x14ac:dyDescent="0.35">
      <c r="A759" s="10" t="s">
        <v>991</v>
      </c>
      <c r="B759" s="10" t="s">
        <v>1029</v>
      </c>
      <c r="C759" s="10">
        <v>43019</v>
      </c>
      <c r="I759" s="10" t="s">
        <v>1087</v>
      </c>
      <c r="M759" s="1"/>
      <c r="O759" s="56"/>
      <c r="P759" s="1"/>
      <c r="Q759" s="59"/>
      <c r="T759" s="10">
        <v>1990</v>
      </c>
      <c r="U759" s="10">
        <v>2030</v>
      </c>
      <c r="V759" s="10">
        <v>1</v>
      </c>
      <c r="W759" s="10">
        <v>1</v>
      </c>
      <c r="X759" s="10" t="s">
        <v>51</v>
      </c>
      <c r="Y759" s="10" t="s">
        <v>283</v>
      </c>
      <c r="AB759" s="10">
        <v>0</v>
      </c>
      <c r="AF759" s="10" t="s">
        <v>993</v>
      </c>
    </row>
    <row r="760" spans="1:38" s="10" customFormat="1" x14ac:dyDescent="0.35">
      <c r="A760" s="10" t="s">
        <v>991</v>
      </c>
      <c r="B760" s="10" t="s">
        <v>1030</v>
      </c>
      <c r="C760" s="10" t="s">
        <v>994</v>
      </c>
      <c r="I760" s="10" t="s">
        <v>1087</v>
      </c>
      <c r="M760" s="1"/>
      <c r="O760" s="56"/>
      <c r="P760" s="1"/>
      <c r="Q760" s="59"/>
      <c r="U760" s="10">
        <v>2030</v>
      </c>
      <c r="V760" s="10">
        <v>1</v>
      </c>
      <c r="W760" s="10">
        <v>1</v>
      </c>
      <c r="X760" s="10" t="s">
        <v>78</v>
      </c>
      <c r="Y760" s="10" t="s">
        <v>78</v>
      </c>
      <c r="AB760" s="10">
        <v>0</v>
      </c>
      <c r="AF760" s="10" t="s">
        <v>135</v>
      </c>
      <c r="AL760" s="10" t="s">
        <v>995</v>
      </c>
    </row>
    <row r="761" spans="1:38" s="2" customFormat="1" hidden="1" x14ac:dyDescent="0.35">
      <c r="A761" s="2" t="s">
        <v>991</v>
      </c>
      <c r="B761" s="2" t="s">
        <v>1031</v>
      </c>
      <c r="C761" s="26" t="s">
        <v>996</v>
      </c>
      <c r="D761" s="26"/>
      <c r="E761" s="26"/>
      <c r="F761" s="26"/>
      <c r="G761" s="26"/>
      <c r="H761" s="10"/>
      <c r="I761" s="10"/>
      <c r="J761" s="10"/>
      <c r="K761" s="1"/>
      <c r="M761" s="10"/>
      <c r="Q761" s="10"/>
      <c r="S761" s="1"/>
      <c r="T761" s="1"/>
      <c r="U761" s="1">
        <v>2035</v>
      </c>
      <c r="V761" s="1">
        <v>1</v>
      </c>
      <c r="W761" s="1">
        <v>1</v>
      </c>
      <c r="X761" s="1" t="s">
        <v>78</v>
      </c>
      <c r="Y761" s="1" t="s">
        <v>78</v>
      </c>
      <c r="Z761" s="1"/>
      <c r="AB761" s="2">
        <v>0</v>
      </c>
      <c r="AF761" s="2" t="s">
        <v>135</v>
      </c>
      <c r="AL761" s="2" t="s">
        <v>995</v>
      </c>
    </row>
    <row r="762" spans="1:38" s="2" customFormat="1" hidden="1" x14ac:dyDescent="0.35">
      <c r="A762" s="2" t="s">
        <v>997</v>
      </c>
      <c r="B762" s="2" t="s">
        <v>1028</v>
      </c>
      <c r="C762" s="26" t="s">
        <v>998</v>
      </c>
      <c r="D762" s="26">
        <v>10</v>
      </c>
      <c r="E762" s="26"/>
      <c r="F762" s="26"/>
      <c r="G762" s="26" t="s">
        <v>129</v>
      </c>
      <c r="H762" s="10" t="s">
        <v>1077</v>
      </c>
      <c r="I762" s="10"/>
      <c r="J762" s="10"/>
      <c r="K762" s="1"/>
      <c r="L762" s="2">
        <v>10</v>
      </c>
      <c r="M762" s="10"/>
      <c r="Q762" s="10"/>
      <c r="S762" s="1"/>
      <c r="T762" s="1">
        <v>2010</v>
      </c>
      <c r="U762" s="1">
        <v>2030</v>
      </c>
      <c r="V762" s="1">
        <v>1</v>
      </c>
      <c r="W762" s="1">
        <v>1</v>
      </c>
      <c r="X762" s="1" t="s">
        <v>51</v>
      </c>
      <c r="Y762" s="2" t="s">
        <v>283</v>
      </c>
      <c r="AB762" s="2">
        <v>0</v>
      </c>
      <c r="AF762" s="2" t="s">
        <v>294</v>
      </c>
    </row>
    <row r="763" spans="1:38" s="10" customFormat="1" x14ac:dyDescent="0.35">
      <c r="A763" s="10" t="s">
        <v>997</v>
      </c>
      <c r="B763" s="10" t="s">
        <v>1029</v>
      </c>
      <c r="C763" s="10">
        <v>43354</v>
      </c>
      <c r="D763" s="10">
        <v>10</v>
      </c>
      <c r="E763" s="10" t="s">
        <v>1183</v>
      </c>
      <c r="F763" s="42" t="s">
        <v>1186</v>
      </c>
      <c r="G763" s="10" t="s">
        <v>129</v>
      </c>
      <c r="H763" s="10" t="s">
        <v>1077</v>
      </c>
      <c r="L763" s="10">
        <v>10</v>
      </c>
      <c r="M763" s="1"/>
      <c r="O763" s="56"/>
      <c r="P763" s="1"/>
      <c r="Q763" s="59"/>
      <c r="T763" s="10">
        <v>2010</v>
      </c>
      <c r="U763" s="10">
        <v>2030</v>
      </c>
      <c r="V763" s="10">
        <v>1</v>
      </c>
      <c r="W763" s="10">
        <v>1</v>
      </c>
      <c r="X763" s="10" t="s">
        <v>51</v>
      </c>
      <c r="Y763" s="10" t="s">
        <v>283</v>
      </c>
      <c r="AB763" s="10">
        <v>0</v>
      </c>
      <c r="AF763" s="10" t="s">
        <v>294</v>
      </c>
    </row>
    <row r="764" spans="1:38" s="10" customFormat="1" ht="17.5" x14ac:dyDescent="0.35">
      <c r="A764" s="10" t="s">
        <v>997</v>
      </c>
      <c r="B764" s="10" t="s">
        <v>1030</v>
      </c>
      <c r="C764" s="10" t="s">
        <v>999</v>
      </c>
      <c r="D764" s="10">
        <v>35</v>
      </c>
      <c r="E764" s="10" t="s">
        <v>1183</v>
      </c>
      <c r="F764" s="12" t="s">
        <v>1130</v>
      </c>
      <c r="G764" s="10" t="s">
        <v>129</v>
      </c>
      <c r="H764" s="10" t="s">
        <v>1077</v>
      </c>
      <c r="L764" s="10">
        <v>35</v>
      </c>
      <c r="M764" s="1"/>
      <c r="O764" s="56"/>
      <c r="P764" s="1"/>
      <c r="Q764" s="59"/>
      <c r="T764" s="10">
        <v>2010</v>
      </c>
      <c r="U764" s="10">
        <v>2030</v>
      </c>
      <c r="V764" s="10">
        <v>1</v>
      </c>
      <c r="W764" s="10">
        <v>1</v>
      </c>
      <c r="X764" s="10" t="s">
        <v>51</v>
      </c>
      <c r="Y764" s="10" t="s">
        <v>283</v>
      </c>
      <c r="AB764" s="10">
        <v>0</v>
      </c>
      <c r="AF764" s="10" t="s">
        <v>1000</v>
      </c>
    </row>
    <row r="765" spans="1:38" s="2" customFormat="1" ht="17" hidden="1" x14ac:dyDescent="0.35">
      <c r="A765" s="2" t="s">
        <v>997</v>
      </c>
      <c r="B765" s="2" t="s">
        <v>1031</v>
      </c>
      <c r="C765" s="31">
        <v>45819</v>
      </c>
      <c r="D765" s="26">
        <v>50</v>
      </c>
      <c r="E765" s="26"/>
      <c r="F765" s="26"/>
      <c r="G765" s="26"/>
      <c r="H765" s="10" t="s">
        <v>1077</v>
      </c>
      <c r="I765" s="23"/>
      <c r="J765" s="23"/>
      <c r="K765" s="19"/>
      <c r="L765" s="2">
        <v>50</v>
      </c>
      <c r="M765" s="10"/>
      <c r="Q765" s="10"/>
      <c r="S765" s="1"/>
      <c r="T765" s="1">
        <v>2010</v>
      </c>
      <c r="U765" s="1">
        <v>2035</v>
      </c>
      <c r="V765" s="1">
        <v>1</v>
      </c>
      <c r="W765" s="1">
        <v>1</v>
      </c>
      <c r="X765" s="1" t="s">
        <v>51</v>
      </c>
      <c r="Y765" s="1" t="s">
        <v>51</v>
      </c>
      <c r="Z765" s="1"/>
      <c r="AB765" s="2">
        <v>0</v>
      </c>
    </row>
    <row r="766" spans="1:38" s="2" customFormat="1" hidden="1" x14ac:dyDescent="0.35">
      <c r="A766" s="2" t="s">
        <v>1001</v>
      </c>
      <c r="B766" s="2" t="s">
        <v>1028</v>
      </c>
      <c r="C766" s="26" t="s">
        <v>315</v>
      </c>
      <c r="D766" s="26"/>
      <c r="E766" s="26"/>
      <c r="F766" s="26"/>
      <c r="G766" s="26" t="s">
        <v>129</v>
      </c>
      <c r="H766" s="10"/>
      <c r="I766" s="10"/>
      <c r="J766" s="10"/>
      <c r="K766" s="1"/>
      <c r="M766" s="10"/>
      <c r="Q766" s="10"/>
      <c r="S766" s="1"/>
      <c r="T766" s="1"/>
      <c r="U766" s="1">
        <v>2030</v>
      </c>
      <c r="V766" s="1">
        <v>1</v>
      </c>
      <c r="W766" s="1">
        <v>1</v>
      </c>
      <c r="X766" s="1"/>
      <c r="Y766" s="1"/>
      <c r="Z766" s="1"/>
      <c r="AB766" s="2">
        <v>0</v>
      </c>
      <c r="AF766" s="2" t="s">
        <v>1002</v>
      </c>
    </row>
    <row r="767" spans="1:38" s="46" customFormat="1" x14ac:dyDescent="0.35">
      <c r="A767" s="46" t="s">
        <v>1001</v>
      </c>
      <c r="B767" s="46" t="s">
        <v>1029</v>
      </c>
      <c r="C767" s="46" t="s">
        <v>40</v>
      </c>
      <c r="G767" s="46" t="s">
        <v>129</v>
      </c>
      <c r="I767" s="48" t="s">
        <v>1085</v>
      </c>
      <c r="M767" s="51"/>
      <c r="O767" s="57"/>
      <c r="P767" s="51"/>
      <c r="Q767" s="60"/>
      <c r="U767" s="46">
        <v>2030</v>
      </c>
      <c r="V767" s="46">
        <v>1</v>
      </c>
      <c r="W767" s="46">
        <v>1</v>
      </c>
      <c r="AB767" s="46">
        <v>0</v>
      </c>
      <c r="AF767" s="46" t="s">
        <v>1002</v>
      </c>
    </row>
    <row r="768" spans="1:38" s="46" customFormat="1" x14ac:dyDescent="0.35">
      <c r="A768" s="46" t="s">
        <v>1001</v>
      </c>
      <c r="B768" s="46" t="s">
        <v>1030</v>
      </c>
      <c r="C768" s="46">
        <v>44812</v>
      </c>
      <c r="I768" s="48" t="s">
        <v>1085</v>
      </c>
      <c r="M768" s="51"/>
      <c r="O768" s="57"/>
      <c r="P768" s="51"/>
      <c r="Q768" s="60"/>
      <c r="U768" s="46">
        <v>2030</v>
      </c>
      <c r="V768" s="46">
        <v>1</v>
      </c>
      <c r="W768" s="46">
        <v>1</v>
      </c>
      <c r="AB768" s="46">
        <v>0</v>
      </c>
      <c r="AF768" s="46" t="s">
        <v>1003</v>
      </c>
    </row>
    <row r="769" spans="1:32" s="2" customFormat="1" ht="17.5" hidden="1" x14ac:dyDescent="0.35">
      <c r="A769" s="2" t="s">
        <v>1001</v>
      </c>
      <c r="B769" s="2" t="s">
        <v>1031</v>
      </c>
      <c r="C769" s="30" t="s">
        <v>1070</v>
      </c>
      <c r="D769" s="26"/>
      <c r="E769" s="26"/>
      <c r="F769" s="26"/>
      <c r="G769" s="26"/>
      <c r="H769" s="10" t="s">
        <v>1077</v>
      </c>
      <c r="I769" s="14"/>
      <c r="J769" s="14"/>
      <c r="K769" s="18"/>
      <c r="M769" s="12">
        <v>1608.57</v>
      </c>
      <c r="Q769" s="12">
        <v>1608.57</v>
      </c>
      <c r="S769" s="1"/>
      <c r="T769" s="1"/>
      <c r="U769" s="1">
        <v>2030</v>
      </c>
      <c r="V769" s="1">
        <v>1</v>
      </c>
      <c r="W769" s="1">
        <v>1</v>
      </c>
      <c r="X769" s="1" t="s">
        <v>78</v>
      </c>
      <c r="Y769" s="1" t="s">
        <v>78</v>
      </c>
      <c r="Z769" s="1"/>
      <c r="AB769" s="2">
        <v>0</v>
      </c>
    </row>
    <row r="770" spans="1:32" s="2" customFormat="1" hidden="1" x14ac:dyDescent="0.35">
      <c r="A770" s="2" t="s">
        <v>1004</v>
      </c>
      <c r="B770" s="2" t="s">
        <v>1028</v>
      </c>
      <c r="C770" s="26"/>
      <c r="D770" s="26"/>
      <c r="E770" s="26"/>
      <c r="F770" s="26"/>
      <c r="G770" s="26"/>
      <c r="H770" s="10"/>
      <c r="I770" s="10"/>
      <c r="J770" s="10"/>
      <c r="K770" s="1"/>
      <c r="M770" s="10"/>
      <c r="Q770" s="10"/>
      <c r="S770" s="1"/>
      <c r="T770" s="1"/>
      <c r="U770" s="1"/>
      <c r="V770" s="1"/>
      <c r="W770" s="1"/>
      <c r="X770" s="1"/>
      <c r="Y770" s="1"/>
      <c r="Z770" s="1"/>
    </row>
    <row r="771" spans="1:32" s="10" customFormat="1" x14ac:dyDescent="0.35">
      <c r="A771" s="10" t="s">
        <v>1004</v>
      </c>
      <c r="B771" s="10" t="s">
        <v>1029</v>
      </c>
      <c r="I771" s="10" t="s">
        <v>1082</v>
      </c>
      <c r="M771" s="1"/>
      <c r="O771" s="56"/>
      <c r="P771" s="1"/>
      <c r="Q771" s="59"/>
    </row>
    <row r="772" spans="1:32" s="10" customFormat="1" x14ac:dyDescent="0.35">
      <c r="A772" s="10" t="s">
        <v>1004</v>
      </c>
      <c r="B772" s="10" t="s">
        <v>1030</v>
      </c>
      <c r="C772" s="10" t="s">
        <v>1005</v>
      </c>
      <c r="D772" s="10">
        <v>20</v>
      </c>
      <c r="E772" s="10" t="s">
        <v>1187</v>
      </c>
      <c r="F772" s="44" t="s">
        <v>1091</v>
      </c>
      <c r="G772" s="10" t="s">
        <v>48</v>
      </c>
      <c r="H772" s="10" t="s">
        <v>1078</v>
      </c>
      <c r="L772" s="10">
        <v>20</v>
      </c>
      <c r="M772" s="1"/>
      <c r="N772" s="10">
        <v>20</v>
      </c>
      <c r="O772" s="56"/>
      <c r="P772" s="1"/>
      <c r="Q772" s="59"/>
      <c r="T772" s="10">
        <v>2011</v>
      </c>
      <c r="U772" s="10">
        <v>2030</v>
      </c>
      <c r="V772" s="10">
        <v>0</v>
      </c>
      <c r="W772" s="10">
        <v>0</v>
      </c>
      <c r="X772" s="10" t="s">
        <v>51</v>
      </c>
      <c r="Y772" s="10" t="s">
        <v>51</v>
      </c>
      <c r="AB772" s="10">
        <v>0</v>
      </c>
      <c r="AF772" s="10" t="s">
        <v>1006</v>
      </c>
    </row>
    <row r="773" spans="1:32" s="2" customFormat="1" ht="17" hidden="1" x14ac:dyDescent="0.35">
      <c r="A773" s="2" t="s">
        <v>1004</v>
      </c>
      <c r="B773" s="2" t="s">
        <v>1031</v>
      </c>
      <c r="C773" s="30" t="s">
        <v>1071</v>
      </c>
      <c r="D773" s="26">
        <v>28</v>
      </c>
      <c r="E773" s="26"/>
      <c r="F773" s="26"/>
      <c r="G773" s="26"/>
      <c r="H773" s="2" t="s">
        <v>1078</v>
      </c>
      <c r="I773" s="14"/>
      <c r="J773" s="14"/>
      <c r="K773" s="18"/>
      <c r="L773" s="2">
        <v>28</v>
      </c>
      <c r="M773" s="10"/>
      <c r="N773" s="2">
        <v>28</v>
      </c>
      <c r="Q773" s="10"/>
      <c r="S773" s="1"/>
      <c r="T773" s="1">
        <v>2011</v>
      </c>
      <c r="U773" s="1">
        <v>2035</v>
      </c>
      <c r="V773" s="1">
        <v>1</v>
      </c>
      <c r="W773" s="1">
        <v>1</v>
      </c>
      <c r="X773" s="1" t="s">
        <v>51</v>
      </c>
      <c r="Y773" s="1" t="s">
        <v>51</v>
      </c>
      <c r="Z773" s="1"/>
      <c r="AB773" s="2">
        <v>0</v>
      </c>
    </row>
    <row r="774" spans="1:32" s="2" customFormat="1" hidden="1" x14ac:dyDescent="0.35">
      <c r="A774" s="2" t="s">
        <v>1007</v>
      </c>
      <c r="B774" s="2" t="s">
        <v>1028</v>
      </c>
      <c r="C774" s="26" t="s">
        <v>1008</v>
      </c>
      <c r="D774" s="26">
        <v>20</v>
      </c>
      <c r="E774" s="26"/>
      <c r="F774" s="26"/>
      <c r="G774" s="26"/>
      <c r="H774" s="2" t="s">
        <v>1076</v>
      </c>
      <c r="I774" s="10"/>
      <c r="J774" s="10"/>
      <c r="K774" s="1"/>
      <c r="L774" s="2">
        <v>20</v>
      </c>
      <c r="M774" s="10"/>
      <c r="P774" s="2">
        <v>20</v>
      </c>
      <c r="Q774" s="10"/>
      <c r="S774" s="1" t="s">
        <v>45</v>
      </c>
      <c r="T774" s="1"/>
      <c r="U774" s="1">
        <v>2030</v>
      </c>
      <c r="V774" s="1">
        <v>1</v>
      </c>
      <c r="W774" s="1">
        <v>1</v>
      </c>
      <c r="X774" s="1" t="s">
        <v>32</v>
      </c>
      <c r="Y774" s="1" t="s">
        <v>32</v>
      </c>
      <c r="Z774" s="1"/>
      <c r="AB774" s="2">
        <v>0</v>
      </c>
      <c r="AF774" s="2" t="s">
        <v>1009</v>
      </c>
    </row>
    <row r="775" spans="1:32" s="10" customFormat="1" x14ac:dyDescent="0.35">
      <c r="A775" s="10" t="s">
        <v>1007</v>
      </c>
      <c r="B775" s="10" t="s">
        <v>1029</v>
      </c>
      <c r="C775" s="10" t="s">
        <v>1010</v>
      </c>
      <c r="D775" s="10">
        <v>20</v>
      </c>
      <c r="E775" s="10" t="s">
        <v>1187</v>
      </c>
      <c r="F775" s="44" t="s">
        <v>1097</v>
      </c>
      <c r="G775" s="10" t="s">
        <v>1117</v>
      </c>
      <c r="H775" s="10" t="s">
        <v>1076</v>
      </c>
      <c r="L775" s="10">
        <v>20</v>
      </c>
      <c r="M775" s="1"/>
      <c r="O775" s="56"/>
      <c r="P775" s="1">
        <v>20</v>
      </c>
      <c r="Q775" s="59"/>
      <c r="S775" s="10" t="s">
        <v>45</v>
      </c>
      <c r="U775" s="10">
        <v>2030</v>
      </c>
      <c r="V775" s="10">
        <v>1</v>
      </c>
      <c r="W775" s="10">
        <v>1</v>
      </c>
      <c r="X775" s="10" t="s">
        <v>32</v>
      </c>
      <c r="Y775" s="10" t="s">
        <v>32</v>
      </c>
      <c r="AB775" s="10">
        <v>0</v>
      </c>
      <c r="AF775" s="10" t="s">
        <v>1009</v>
      </c>
    </row>
    <row r="776" spans="1:32" s="10" customFormat="1" ht="17" x14ac:dyDescent="0.35">
      <c r="A776" s="10" t="s">
        <v>1007</v>
      </c>
      <c r="B776" s="10" t="s">
        <v>1030</v>
      </c>
      <c r="C776" s="14" t="s">
        <v>1188</v>
      </c>
      <c r="D776" s="10">
        <v>20</v>
      </c>
      <c r="E776" s="10" t="s">
        <v>1187</v>
      </c>
      <c r="F776" s="44" t="s">
        <v>1097</v>
      </c>
      <c r="G776" s="10" t="s">
        <v>53</v>
      </c>
      <c r="H776" s="10" t="s">
        <v>1076</v>
      </c>
      <c r="L776" s="10">
        <v>20</v>
      </c>
      <c r="M776" s="1"/>
      <c r="O776" s="56"/>
      <c r="P776" s="1">
        <v>20</v>
      </c>
      <c r="Q776" s="59"/>
      <c r="S776" s="10" t="s">
        <v>45</v>
      </c>
      <c r="U776" s="10">
        <v>2030</v>
      </c>
      <c r="V776" s="10">
        <v>1</v>
      </c>
      <c r="W776" s="10">
        <v>1</v>
      </c>
      <c r="X776" s="10" t="s">
        <v>32</v>
      </c>
      <c r="Y776" s="10" t="s">
        <v>32</v>
      </c>
      <c r="AB776" s="10">
        <v>0</v>
      </c>
      <c r="AF776" s="10" t="s">
        <v>1011</v>
      </c>
    </row>
    <row r="777" spans="1:32" s="2" customFormat="1" ht="17" hidden="1" x14ac:dyDescent="0.35">
      <c r="A777" s="2" t="s">
        <v>1007</v>
      </c>
      <c r="B777" s="2" t="s">
        <v>1031</v>
      </c>
      <c r="C777" s="30" t="s">
        <v>1037</v>
      </c>
      <c r="D777" s="26">
        <v>20</v>
      </c>
      <c r="E777" s="26"/>
      <c r="F777" s="26"/>
      <c r="G777" s="26"/>
      <c r="H777" s="2" t="s">
        <v>1076</v>
      </c>
      <c r="I777" s="14"/>
      <c r="J777" s="14"/>
      <c r="K777" s="18"/>
      <c r="L777" s="2">
        <v>20</v>
      </c>
      <c r="M777" s="10"/>
      <c r="P777" s="2">
        <v>20</v>
      </c>
      <c r="Q777" s="10"/>
      <c r="S777" s="1" t="s">
        <v>45</v>
      </c>
      <c r="T777" s="1"/>
      <c r="U777" s="1">
        <v>2030</v>
      </c>
      <c r="V777" s="1">
        <v>1</v>
      </c>
      <c r="W777" s="1">
        <v>1</v>
      </c>
      <c r="X777" s="1" t="s">
        <v>32</v>
      </c>
      <c r="Y777" s="1" t="s">
        <v>32</v>
      </c>
      <c r="Z777" s="1"/>
      <c r="AB777" s="2">
        <v>0</v>
      </c>
      <c r="AF777" s="2" t="s">
        <v>1011</v>
      </c>
    </row>
    <row r="778" spans="1:32" s="2" customFormat="1" hidden="1" x14ac:dyDescent="0.35">
      <c r="A778" s="2" t="s">
        <v>1012</v>
      </c>
      <c r="B778" s="2" t="s">
        <v>1028</v>
      </c>
      <c r="C778" s="26">
        <v>44784</v>
      </c>
      <c r="D778" s="26">
        <v>25</v>
      </c>
      <c r="E778" s="26"/>
      <c r="F778" s="26"/>
      <c r="G778" s="26" t="s">
        <v>49</v>
      </c>
      <c r="H778" s="10" t="s">
        <v>1077</v>
      </c>
      <c r="I778" s="10"/>
      <c r="J778" s="10"/>
      <c r="K778" s="1"/>
      <c r="L778" s="2">
        <v>25</v>
      </c>
      <c r="M778" s="10"/>
      <c r="N778" s="2">
        <v>8</v>
      </c>
      <c r="P778" s="2">
        <v>17</v>
      </c>
      <c r="Q778" s="10"/>
      <c r="S778" s="1" t="s">
        <v>45</v>
      </c>
      <c r="T778" s="1"/>
      <c r="U778" s="1">
        <v>2030</v>
      </c>
      <c r="V778" s="1">
        <v>1</v>
      </c>
      <c r="W778" s="1">
        <v>1</v>
      </c>
      <c r="X778" s="1" t="s">
        <v>32</v>
      </c>
      <c r="Y778" s="1" t="s">
        <v>32</v>
      </c>
      <c r="Z778" s="1"/>
      <c r="AB778" s="2">
        <v>0</v>
      </c>
      <c r="AF778" s="2" t="s">
        <v>1013</v>
      </c>
    </row>
    <row r="779" spans="1:32" s="10" customFormat="1" ht="17" x14ac:dyDescent="0.35">
      <c r="A779" s="10" t="s">
        <v>1012</v>
      </c>
      <c r="B779" s="10" t="s">
        <v>1029</v>
      </c>
      <c r="C779" s="33">
        <v>42440</v>
      </c>
      <c r="D779" s="10">
        <v>25</v>
      </c>
      <c r="E779" s="10" t="s">
        <v>1189</v>
      </c>
      <c r="F779" s="44" t="s">
        <v>1168</v>
      </c>
      <c r="G779" s="10" t="s">
        <v>49</v>
      </c>
      <c r="H779" s="10" t="s">
        <v>1077</v>
      </c>
      <c r="L779" s="10">
        <v>25</v>
      </c>
      <c r="M779" s="1"/>
      <c r="N779" s="10">
        <v>8</v>
      </c>
      <c r="O779" s="56"/>
      <c r="P779" s="1">
        <v>17</v>
      </c>
      <c r="Q779" s="59"/>
      <c r="S779" s="10" t="s">
        <v>45</v>
      </c>
      <c r="U779" s="10">
        <v>2030</v>
      </c>
      <c r="V779" s="10">
        <v>1</v>
      </c>
      <c r="W779" s="10">
        <v>1</v>
      </c>
      <c r="X779" s="10" t="s">
        <v>32</v>
      </c>
      <c r="Y779" s="10" t="s">
        <v>32</v>
      </c>
      <c r="AB779" s="10">
        <v>0</v>
      </c>
      <c r="AF779" s="10" t="s">
        <v>1013</v>
      </c>
    </row>
    <row r="780" spans="1:32" s="10" customFormat="1" ht="17" x14ac:dyDescent="0.35">
      <c r="A780" s="10" t="s">
        <v>1012</v>
      </c>
      <c r="B780" s="10" t="s">
        <v>1030</v>
      </c>
      <c r="C780" s="33">
        <v>44784</v>
      </c>
      <c r="D780" s="10">
        <v>35.25</v>
      </c>
      <c r="E780" s="44" t="s">
        <v>1189</v>
      </c>
      <c r="F780" s="44" t="s">
        <v>1168</v>
      </c>
      <c r="G780" s="10" t="s">
        <v>49</v>
      </c>
      <c r="H780" s="10" t="s">
        <v>1077</v>
      </c>
      <c r="L780" s="10">
        <v>35.25</v>
      </c>
      <c r="M780" s="1"/>
      <c r="N780" s="10">
        <v>12</v>
      </c>
      <c r="O780" s="56"/>
      <c r="P780" s="1">
        <v>23.25</v>
      </c>
      <c r="Q780" s="59"/>
      <c r="S780" s="10" t="s">
        <v>45</v>
      </c>
      <c r="U780" s="10">
        <v>2030</v>
      </c>
      <c r="V780" s="10">
        <v>1</v>
      </c>
      <c r="W780" s="10">
        <v>1</v>
      </c>
      <c r="X780" s="10" t="s">
        <v>32</v>
      </c>
      <c r="Y780" s="10" t="s">
        <v>32</v>
      </c>
      <c r="AB780" s="10">
        <v>0</v>
      </c>
      <c r="AF780" s="10" t="s">
        <v>1014</v>
      </c>
    </row>
    <row r="781" spans="1:32" s="2" customFormat="1" ht="43.5" hidden="1" x14ac:dyDescent="0.35">
      <c r="A781" s="2" t="s">
        <v>1012</v>
      </c>
      <c r="B781" s="2" t="s">
        <v>1031</v>
      </c>
      <c r="C781" s="26"/>
      <c r="D781" s="26"/>
      <c r="E781" s="45" t="s">
        <v>1190</v>
      </c>
      <c r="F781" s="40" t="s">
        <v>1168</v>
      </c>
      <c r="G781" s="26"/>
      <c r="H781" s="10"/>
      <c r="I781" s="10"/>
      <c r="J781" s="10"/>
      <c r="K781" s="1"/>
      <c r="M781" s="10"/>
      <c r="Q781" s="10"/>
      <c r="S781" s="1"/>
      <c r="T781" s="1"/>
      <c r="U781" s="1"/>
      <c r="V781" s="1"/>
      <c r="W781" s="1"/>
      <c r="X781" s="1"/>
      <c r="Y781" s="1"/>
      <c r="Z781" s="1"/>
    </row>
    <row r="782" spans="1:32" s="2" customFormat="1" hidden="1" x14ac:dyDescent="0.35">
      <c r="A782" s="2" t="s">
        <v>1015</v>
      </c>
      <c r="B782" s="2" t="s">
        <v>1028</v>
      </c>
      <c r="C782" s="26" t="s">
        <v>830</v>
      </c>
      <c r="D782" s="26">
        <v>14</v>
      </c>
      <c r="E782" s="26"/>
      <c r="F782" s="26"/>
      <c r="G782" s="26" t="s">
        <v>1016</v>
      </c>
      <c r="H782" s="10" t="s">
        <v>1077</v>
      </c>
      <c r="I782" s="10"/>
      <c r="J782" s="10"/>
      <c r="K782" s="1"/>
      <c r="L782" s="2">
        <v>14</v>
      </c>
      <c r="M782" s="10"/>
      <c r="N782" s="2">
        <v>1</v>
      </c>
      <c r="P782" s="2">
        <v>13</v>
      </c>
      <c r="Q782" s="10"/>
      <c r="S782" s="1" t="s">
        <v>45</v>
      </c>
      <c r="T782" s="1"/>
      <c r="U782" s="1">
        <v>2030</v>
      </c>
      <c r="V782" s="1">
        <v>1</v>
      </c>
      <c r="W782" s="1">
        <v>1</v>
      </c>
      <c r="X782" s="1" t="s">
        <v>32</v>
      </c>
      <c r="Y782" s="1" t="s">
        <v>32</v>
      </c>
      <c r="Z782" s="1"/>
      <c r="AB782" s="2">
        <v>0</v>
      </c>
      <c r="AF782" s="2" t="s">
        <v>1017</v>
      </c>
    </row>
    <row r="783" spans="1:32" s="46" customFormat="1" x14ac:dyDescent="0.35">
      <c r="A783" s="46" t="s">
        <v>1015</v>
      </c>
      <c r="B783" s="46" t="s">
        <v>1029</v>
      </c>
      <c r="I783" s="46" t="s">
        <v>1082</v>
      </c>
      <c r="M783" s="51"/>
      <c r="O783" s="57"/>
      <c r="P783" s="51"/>
      <c r="Q783" s="60"/>
    </row>
    <row r="784" spans="1:32" s="46" customFormat="1" x14ac:dyDescent="0.35">
      <c r="A784" s="46" t="s">
        <v>1015</v>
      </c>
      <c r="B784" s="46" t="s">
        <v>1030</v>
      </c>
      <c r="I784" s="46" t="s">
        <v>1082</v>
      </c>
      <c r="M784" s="51"/>
      <c r="O784" s="57"/>
      <c r="P784" s="51"/>
      <c r="Q784" s="60"/>
    </row>
    <row r="785" spans="1:36" s="2" customFormat="1" ht="17" hidden="1" x14ac:dyDescent="0.35">
      <c r="A785" s="2" t="s">
        <v>1015</v>
      </c>
      <c r="B785" s="2" t="s">
        <v>1031</v>
      </c>
      <c r="C785" s="30" t="s">
        <v>1055</v>
      </c>
      <c r="D785" s="26">
        <v>14</v>
      </c>
      <c r="E785" s="26"/>
      <c r="F785" s="26"/>
      <c r="G785" s="26"/>
      <c r="H785" s="10" t="s">
        <v>1077</v>
      </c>
      <c r="I785" s="14"/>
      <c r="J785" s="14"/>
      <c r="K785" s="18"/>
      <c r="L785" s="2">
        <v>14</v>
      </c>
      <c r="M785" s="10"/>
      <c r="N785" s="2">
        <v>1</v>
      </c>
      <c r="P785" s="2">
        <v>13</v>
      </c>
      <c r="Q785" s="10"/>
      <c r="S785" s="1" t="s">
        <v>30</v>
      </c>
      <c r="T785" s="1"/>
      <c r="U785" s="1">
        <v>2035</v>
      </c>
      <c r="V785" s="1">
        <v>1</v>
      </c>
      <c r="W785" s="1">
        <v>1</v>
      </c>
      <c r="X785" s="1" t="s">
        <v>32</v>
      </c>
      <c r="Y785" s="1" t="s">
        <v>32</v>
      </c>
      <c r="Z785" s="1"/>
      <c r="AB785" s="2">
        <v>0</v>
      </c>
    </row>
    <row r="786" spans="1:36" s="2" customFormat="1" hidden="1" x14ac:dyDescent="0.35">
      <c r="A786" s="2" t="s">
        <v>1018</v>
      </c>
      <c r="B786" s="2" t="s">
        <v>1028</v>
      </c>
      <c r="C786" s="26" t="s">
        <v>83</v>
      </c>
      <c r="D786" s="26">
        <v>47</v>
      </c>
      <c r="E786" s="26"/>
      <c r="F786" s="26"/>
      <c r="G786" s="26" t="s">
        <v>1019</v>
      </c>
      <c r="H786" s="2" t="s">
        <v>1076</v>
      </c>
      <c r="I786" s="10"/>
      <c r="J786" s="10"/>
      <c r="K786" s="1"/>
      <c r="L786" s="2">
        <v>47</v>
      </c>
      <c r="M786" s="10"/>
      <c r="P786" s="2">
        <v>47</v>
      </c>
      <c r="Q786" s="10"/>
      <c r="S786" s="1"/>
      <c r="T786" s="1">
        <v>2010</v>
      </c>
      <c r="U786" s="1">
        <v>2030</v>
      </c>
      <c r="V786" s="1">
        <v>1</v>
      </c>
      <c r="W786" s="1">
        <v>1</v>
      </c>
      <c r="X786" s="1" t="s">
        <v>51</v>
      </c>
      <c r="Y786" s="1" t="s">
        <v>51</v>
      </c>
      <c r="Z786" s="1"/>
      <c r="AB786" s="2">
        <v>0</v>
      </c>
      <c r="AF786" s="2" t="s">
        <v>1020</v>
      </c>
    </row>
    <row r="787" spans="1:36" s="10" customFormat="1" ht="17" x14ac:dyDescent="0.35">
      <c r="A787" s="10" t="s">
        <v>1018</v>
      </c>
      <c r="B787" s="10" t="s">
        <v>1029</v>
      </c>
      <c r="C787" s="33">
        <v>42625</v>
      </c>
      <c r="D787" s="10">
        <v>47</v>
      </c>
      <c r="E787" s="10" t="s">
        <v>1187</v>
      </c>
      <c r="F787" s="44" t="s">
        <v>1097</v>
      </c>
      <c r="G787" s="10" t="s">
        <v>1019</v>
      </c>
      <c r="H787" s="10" t="s">
        <v>1076</v>
      </c>
      <c r="L787" s="10">
        <v>47</v>
      </c>
      <c r="M787" s="1"/>
      <c r="O787" s="56"/>
      <c r="P787" s="1">
        <v>47</v>
      </c>
      <c r="Q787" s="59"/>
      <c r="T787" s="10">
        <v>2010</v>
      </c>
      <c r="U787" s="10">
        <v>2030</v>
      </c>
      <c r="V787" s="10">
        <v>1</v>
      </c>
      <c r="W787" s="10">
        <v>1</v>
      </c>
      <c r="X787" s="10" t="s">
        <v>51</v>
      </c>
      <c r="Y787" s="10" t="s">
        <v>51</v>
      </c>
      <c r="AB787" s="10">
        <v>0</v>
      </c>
      <c r="AF787" s="10" t="s">
        <v>1020</v>
      </c>
    </row>
    <row r="788" spans="1:36" s="10" customFormat="1" ht="17" x14ac:dyDescent="0.35">
      <c r="A788" s="10" t="s">
        <v>1018</v>
      </c>
      <c r="B788" s="10" t="s">
        <v>1030</v>
      </c>
      <c r="C788" s="14" t="s">
        <v>144</v>
      </c>
      <c r="D788" s="10">
        <v>47</v>
      </c>
      <c r="E788" s="10" t="s">
        <v>1189</v>
      </c>
      <c r="F788" s="44" t="s">
        <v>1097</v>
      </c>
      <c r="G788" s="10" t="s">
        <v>1019</v>
      </c>
      <c r="H788" s="10" t="s">
        <v>1076</v>
      </c>
      <c r="L788" s="10">
        <v>47</v>
      </c>
      <c r="M788" s="1"/>
      <c r="O788" s="56"/>
      <c r="P788" s="1">
        <v>47</v>
      </c>
      <c r="Q788" s="59"/>
      <c r="T788" s="10">
        <v>2010</v>
      </c>
      <c r="U788" s="10">
        <v>2030</v>
      </c>
      <c r="V788" s="10">
        <v>1</v>
      </c>
      <c r="W788" s="10">
        <v>1</v>
      </c>
      <c r="X788" s="10" t="s">
        <v>51</v>
      </c>
      <c r="Y788" s="10" t="s">
        <v>51</v>
      </c>
      <c r="AB788" s="10">
        <v>0</v>
      </c>
      <c r="AF788" s="10" t="s">
        <v>1021</v>
      </c>
    </row>
    <row r="789" spans="1:36" s="2" customFormat="1" hidden="1" x14ac:dyDescent="0.35">
      <c r="A789" s="2" t="s">
        <v>1018</v>
      </c>
      <c r="B789" s="2" t="s">
        <v>1031</v>
      </c>
      <c r="C789" s="26">
        <v>45933</v>
      </c>
      <c r="D789" s="26">
        <v>47</v>
      </c>
      <c r="E789" s="26"/>
      <c r="F789" s="26"/>
      <c r="G789" s="26" t="s">
        <v>1019</v>
      </c>
      <c r="H789" s="2" t="s">
        <v>1076</v>
      </c>
      <c r="I789" s="10"/>
      <c r="J789" s="10"/>
      <c r="K789" s="1"/>
      <c r="L789" s="2">
        <v>47</v>
      </c>
      <c r="M789" s="10"/>
      <c r="N789" s="2">
        <v>25</v>
      </c>
      <c r="P789" s="2">
        <v>22</v>
      </c>
      <c r="Q789" s="10"/>
      <c r="S789" s="1"/>
      <c r="T789" s="1">
        <v>2010</v>
      </c>
      <c r="U789" s="1">
        <v>2030</v>
      </c>
      <c r="V789" s="1">
        <v>1</v>
      </c>
      <c r="W789" s="1">
        <v>1</v>
      </c>
      <c r="X789" s="1" t="s">
        <v>51</v>
      </c>
      <c r="Y789" s="1" t="s">
        <v>51</v>
      </c>
      <c r="Z789" s="1"/>
      <c r="AB789" s="2">
        <v>0</v>
      </c>
      <c r="AF789" s="2" t="s">
        <v>1021</v>
      </c>
    </row>
    <row r="790" spans="1:36" s="2" customFormat="1" hidden="1" x14ac:dyDescent="0.35">
      <c r="A790" s="2" t="s">
        <v>1022</v>
      </c>
      <c r="B790" s="2" t="s">
        <v>1028</v>
      </c>
      <c r="C790" s="26" t="s">
        <v>170</v>
      </c>
      <c r="D790" s="26">
        <v>33</v>
      </c>
      <c r="E790" s="26"/>
      <c r="F790" s="26"/>
      <c r="G790" s="26" t="s">
        <v>129</v>
      </c>
      <c r="H790" s="2" t="s">
        <v>1076</v>
      </c>
      <c r="I790" s="10"/>
      <c r="J790" s="10"/>
      <c r="K790" s="1"/>
      <c r="L790" s="2">
        <v>33</v>
      </c>
      <c r="M790" s="10"/>
      <c r="P790" s="2">
        <v>33</v>
      </c>
      <c r="Q790" s="10"/>
      <c r="S790" s="1" t="s">
        <v>45</v>
      </c>
      <c r="T790" s="1"/>
      <c r="U790" s="1">
        <v>2030</v>
      </c>
      <c r="V790" s="1">
        <v>1</v>
      </c>
      <c r="W790" s="1">
        <v>1</v>
      </c>
      <c r="X790" s="1" t="s">
        <v>32</v>
      </c>
      <c r="Y790" s="1" t="s">
        <v>32</v>
      </c>
      <c r="AB790" s="2">
        <v>0</v>
      </c>
      <c r="AF790" s="2" t="s">
        <v>393</v>
      </c>
    </row>
    <row r="791" spans="1:36" s="1" customFormat="1" ht="17" x14ac:dyDescent="0.35">
      <c r="A791" s="1" t="s">
        <v>1022</v>
      </c>
      <c r="B791" s="1" t="s">
        <v>1029</v>
      </c>
      <c r="C791" s="35">
        <v>42924</v>
      </c>
      <c r="D791" s="26">
        <v>33</v>
      </c>
      <c r="E791" t="s">
        <v>1184</v>
      </c>
      <c r="F791" t="s">
        <v>1097</v>
      </c>
      <c r="G791" s="26" t="s">
        <v>129</v>
      </c>
      <c r="H791" s="1" t="s">
        <v>1076</v>
      </c>
      <c r="J791" s="1">
        <v>1</v>
      </c>
      <c r="L791" s="1">
        <v>33</v>
      </c>
      <c r="O791" s="56"/>
      <c r="P791" s="1">
        <v>33</v>
      </c>
      <c r="Q791" s="59"/>
      <c r="S791" s="1" t="s">
        <v>45</v>
      </c>
      <c r="U791" s="1">
        <v>2030</v>
      </c>
      <c r="V791" s="1">
        <v>1</v>
      </c>
      <c r="W791" s="1">
        <v>1</v>
      </c>
      <c r="X791" s="1" t="s">
        <v>32</v>
      </c>
      <c r="Y791" s="1" t="s">
        <v>32</v>
      </c>
      <c r="AB791" s="1">
        <v>0</v>
      </c>
      <c r="AF791" s="1" t="s">
        <v>393</v>
      </c>
      <c r="AJ791" s="1" t="s">
        <v>1023</v>
      </c>
    </row>
    <row r="792" spans="1:36" s="1" customFormat="1" x14ac:dyDescent="0.35">
      <c r="A792" s="1" t="s">
        <v>1022</v>
      </c>
      <c r="B792" s="1" t="s">
        <v>1030</v>
      </c>
      <c r="C792" s="26" t="s">
        <v>1024</v>
      </c>
      <c r="D792" s="26">
        <v>40</v>
      </c>
      <c r="E792" t="s">
        <v>1187</v>
      </c>
      <c r="F792" s="43" t="s">
        <v>1097</v>
      </c>
      <c r="G792" s="26" t="s">
        <v>129</v>
      </c>
      <c r="H792" s="1" t="s">
        <v>1076</v>
      </c>
      <c r="L792" s="1">
        <v>40</v>
      </c>
      <c r="O792" s="56"/>
      <c r="P792" s="1">
        <v>40</v>
      </c>
      <c r="Q792" s="59"/>
      <c r="S792" s="1" t="s">
        <v>45</v>
      </c>
      <c r="U792" s="1">
        <v>2030</v>
      </c>
      <c r="V792" s="1">
        <v>1</v>
      </c>
      <c r="W792" s="1">
        <v>1</v>
      </c>
      <c r="X792" s="1" t="s">
        <v>32</v>
      </c>
      <c r="Y792" s="1" t="s">
        <v>32</v>
      </c>
      <c r="AB792" s="1">
        <v>0</v>
      </c>
      <c r="AF792" s="1" t="s">
        <v>1025</v>
      </c>
      <c r="AJ792" s="1" t="s">
        <v>1023</v>
      </c>
    </row>
    <row r="793" spans="1:36" s="2" customFormat="1" hidden="1" x14ac:dyDescent="0.35">
      <c r="A793" s="2" t="s">
        <v>1022</v>
      </c>
      <c r="B793" s="2" t="s">
        <v>1031</v>
      </c>
      <c r="C793" s="26">
        <v>45932</v>
      </c>
      <c r="D793" s="26">
        <v>40</v>
      </c>
      <c r="E793" s="26"/>
      <c r="F793" s="26"/>
      <c r="G793" s="26" t="s">
        <v>1026</v>
      </c>
      <c r="H793" s="2" t="s">
        <v>1076</v>
      </c>
      <c r="I793" s="10"/>
      <c r="J793" s="10"/>
      <c r="K793" s="1"/>
      <c r="L793" s="2">
        <v>40</v>
      </c>
      <c r="M793" s="10"/>
      <c r="P793" s="2">
        <v>40</v>
      </c>
      <c r="Q793" s="10"/>
      <c r="S793" s="1" t="s">
        <v>45</v>
      </c>
      <c r="T793" s="1"/>
      <c r="U793" s="1">
        <v>2035</v>
      </c>
      <c r="V793" s="1">
        <v>1</v>
      </c>
      <c r="W793" s="1">
        <v>1</v>
      </c>
      <c r="X793" s="1" t="s">
        <v>32</v>
      </c>
      <c r="Y793" s="1" t="s">
        <v>32</v>
      </c>
      <c r="AB793" s="2">
        <v>0</v>
      </c>
      <c r="AF793" s="2" t="s">
        <v>1027</v>
      </c>
    </row>
  </sheetData>
  <autoFilter ref="B1:B793" xr:uid="{6A2F3917-46ED-4D08-A4D5-03780E8CFD3E}">
    <filterColumn colId="0">
      <filters>
        <filter val="First_NDC"/>
        <filter val="Second_NDC"/>
      </filters>
    </filterColumn>
  </autoFilter>
  <hyperlinks>
    <hyperlink ref="AF167" r:id="rId1" display="http://eur-lex.europa.eu/legal-content/EN/TXT/?uri=CELEX:32013D0529" xr:uid="{62928AF9-886E-4CDE-9241-1A79199F4183}"/>
    <hyperlink ref="AF168" r:id="rId2" display="http://eur-lex.europa.eu/legal-content/EN/TXT/?uri=CELEX:32013D0529" xr:uid="{04D70A56-3661-45DF-BB40-31CFE9D9D59F}"/>
    <hyperlink ref="AF175" r:id="rId3" display="http://eur-lex.europa.eu/legal-content/EN/TXT/?uri=CELEX:32013D0529" xr:uid="{652039D0-959D-4B41-9B03-6407DAD63918}"/>
    <hyperlink ref="AF176" r:id="rId4" display="http://eur-lex.europa.eu/legal-content/EN/TXT/?uri=CELEX:32013D0529" xr:uid="{B05A3832-46E7-4D7E-9B40-3EDAB1C3A371}"/>
    <hyperlink ref="AF179" r:id="rId5" display="http://eur-lex.europa.eu/legal-content/EN/TXT/?uri=CELEX:32013D0529" xr:uid="{AC3DE087-8285-4BF7-83BA-3BC10FEB6B9E}"/>
    <hyperlink ref="AF180" r:id="rId6" display="http://eur-lex.europa.eu/legal-content/EN/TXT/?uri=CELEX:32013D0529" xr:uid="{900CE434-7321-4436-B381-1BF3F31F5F30}"/>
    <hyperlink ref="AF191" r:id="rId7" display="http://eur-lex.europa.eu/legal-content/EN/TXT/?uri=CELEX:32013D0529" xr:uid="{3E6D24B3-3013-46E1-88FF-6386C3309B18}"/>
    <hyperlink ref="AF192" r:id="rId8" display="http://eur-lex.europa.eu/legal-content/EN/TXT/?uri=CELEX:32013D0529" xr:uid="{200956D5-AFE9-4C0F-A0F2-8429D2001C33}"/>
    <hyperlink ref="AF231" r:id="rId9" display="http://eur-lex.europa.eu/legal-content/EN/TXT/?uri=CELEX:32013D0529" xr:uid="{1894A2DE-681C-4C4B-8BE6-F16A32F5FFB2}"/>
    <hyperlink ref="AF232" r:id="rId10" display="http://eur-lex.europa.eu/legal-content/EN/TXT/?uri=CELEX:32013D0529" xr:uid="{CF9B48CE-2D94-4B9E-8AFD-01F434242423}"/>
    <hyperlink ref="AF243" r:id="rId11" display="http://eur-lex.europa.eu/legal-content/EN/TXT/?uri=CELEX:32013D0529" xr:uid="{F31114F3-463C-42D0-9441-8E667B9960A3}"/>
    <hyperlink ref="AF244" r:id="rId12" display="http://eur-lex.europa.eu/legal-content/EN/TXT/?uri=CELEX:32013D0529" xr:uid="{4B2E8454-13DF-499C-A6D2-14644F875470}"/>
    <hyperlink ref="AF242" r:id="rId13" display="http://eur-lex.europa.eu/legal-content/EN/TXT/?uri=CELEX:32013D0529" xr:uid="{71A48DF2-743C-42C1-8FE5-AD1A66C77B57}"/>
    <hyperlink ref="AF251" r:id="rId14" display="http://eur-lex.europa.eu/legal-content/EN/TXT/?uri=CELEX:32013D0529" xr:uid="{81D46B8E-8D3C-45D1-9D6E-CB11B9223305}"/>
    <hyperlink ref="AF252" r:id="rId15" display="http://eur-lex.europa.eu/legal-content/EN/TXT/?uri=CELEX:32013D0529" xr:uid="{CE077031-D298-4FBF-B204-EDE6AAD2BEAE}"/>
    <hyperlink ref="AF255" r:id="rId16" display="http://eur-lex.europa.eu/legal-content/EN/TXT/?uri=CELEX:32013D0529" xr:uid="{A3502C81-61E0-42E8-8440-5749E08AEBB1}"/>
    <hyperlink ref="AF256" r:id="rId17" display="http://eur-lex.europa.eu/legal-content/EN/TXT/?uri=CELEX:32013D0529" xr:uid="{058495ED-1A26-451A-B6DC-93634680FF8D}"/>
    <hyperlink ref="AF271" r:id="rId18" display="http://eur-lex.europa.eu/legal-content/EN/TXT/?uri=CELEX:32013D0529" xr:uid="{02D6DCF7-BFF0-4796-A40D-BC17B470000B}"/>
    <hyperlink ref="AF272" r:id="rId19" display="http://eur-lex.europa.eu/legal-content/EN/TXT/?uri=CELEX:32013D0529" xr:uid="{20F28105-9C99-4631-97CE-A098C9634ED9}"/>
    <hyperlink ref="AF279" r:id="rId20" display="http://eur-lex.europa.eu/legal-content/EN/TXT/?uri=CELEX:32013D0529" xr:uid="{706A9BA2-5649-4DFA-9ADB-1A31E64A5CD3}"/>
    <hyperlink ref="AF280" r:id="rId21" display="http://eur-lex.europa.eu/legal-content/EN/TXT/?uri=CELEX:32013D0529" xr:uid="{E68F0030-52C0-4D80-B0DC-E5F9EDF609E8}"/>
    <hyperlink ref="AF311" r:id="rId22" display="http://eur-lex.europa.eu/legal-content/EN/TXT/?uri=CELEX:32013D0529" xr:uid="{D75BB4D0-FC2F-4679-B7BE-E19087481B53}"/>
    <hyperlink ref="AF312" r:id="rId23" display="http://eur-lex.europa.eu/legal-content/EN/TXT/?uri=CELEX:32013D0529" xr:uid="{D650A585-B015-44F0-BD39-388332B4BF09}"/>
    <hyperlink ref="AF315" r:id="rId24" display="http://eur-lex.europa.eu/legal-content/EN/TXT/?uri=CELEX:32013D0529" xr:uid="{861E9D5A-2D64-4876-AC25-85499AD30FC8}"/>
    <hyperlink ref="AF316" r:id="rId25" display="http://eur-lex.europa.eu/legal-content/EN/TXT/?uri=CELEX:32013D0529" xr:uid="{2F7B2785-BF67-406B-93FA-1BAAA4334F41}"/>
    <hyperlink ref="AF335" r:id="rId26" display="http://eur-lex.europa.eu/legal-content/EN/TXT/?uri=CELEX:32013D0529" xr:uid="{E823A2CF-34DE-4F83-A724-A18D06A0F802}"/>
    <hyperlink ref="AF336" r:id="rId27" display="http://eur-lex.europa.eu/legal-content/EN/TXT/?uri=CELEX:32013D0529" xr:uid="{9454D24D-EB62-4E74-BF57-12D682874C97}"/>
    <hyperlink ref="AF343" r:id="rId28" display="http://eur-lex.europa.eu/legal-content/EN/TXT/?uri=CELEX:32013D0529" xr:uid="{F3158A91-0B02-41F4-B57D-E39FD4A5F618}"/>
    <hyperlink ref="AF344" r:id="rId29" display="http://eur-lex.europa.eu/legal-content/EN/TXT/?uri=CELEX:32013D0529" xr:uid="{BE9962B3-9B98-4E80-A863-4D82170C7384}"/>
    <hyperlink ref="AF383" r:id="rId30" display="http://eur-lex.europa.eu/legal-content/EN/TXT/?uri=CELEX:32013D0529" xr:uid="{72407D01-AD03-4486-A40D-9D6640AC4A7E}"/>
    <hyperlink ref="AF384" r:id="rId31" display="http://eur-lex.europa.eu/legal-content/EN/TXT/?uri=CELEX:32013D0529" xr:uid="{1E61DBE2-AD13-458C-8C8F-7E8386B11087}"/>
    <hyperlink ref="AF407" r:id="rId32" display="http://eur-lex.europa.eu/legal-content/EN/TXT/?uri=CELEX:32013D0529" xr:uid="{CC4FB82D-564A-4CD1-9F45-E40AA732CE8C}"/>
    <hyperlink ref="AF408" r:id="rId33" display="http://eur-lex.europa.eu/legal-content/EN/TXT/?uri=CELEX:32013D0529" xr:uid="{F28412AC-D8CC-4413-B6F1-7B55E724444D}"/>
    <hyperlink ref="AF411" r:id="rId34" display="http://eur-lex.europa.eu/legal-content/EN/TXT/?uri=CELEX:32013D0529" xr:uid="{DE3060CB-F71E-4E26-A4E8-3727E6FBB310}"/>
    <hyperlink ref="AF412" r:id="rId35" display="http://eur-lex.europa.eu/legal-content/EN/TXT/?uri=CELEX:32013D0529" xr:uid="{D2A88FA9-FE0F-48E0-8061-A4435D487483}"/>
    <hyperlink ref="AF435" r:id="rId36" display="http://eur-lex.europa.eu/legal-content/EN/TXT/?uri=CELEX:32013D0529" xr:uid="{8B3D176B-649C-447E-ACF8-CEF35BA36DD5}"/>
    <hyperlink ref="AF436" r:id="rId37" display="http://eur-lex.europa.eu/legal-content/EN/TXT/?uri=CELEX:32013D0529" xr:uid="{93400DB3-CA13-4959-BAD5-9033F5F0E4A9}"/>
    <hyperlink ref="AF499" r:id="rId38" display="http://eur-lex.europa.eu/legal-content/EN/TXT/?uri=CELEX:32013D0529" xr:uid="{5208F105-269E-4FAA-999F-3A57A19F1E44}"/>
    <hyperlink ref="AF500" r:id="rId39" display="http://eur-lex.europa.eu/legal-content/EN/TXT/?uri=CELEX:32013D0529" xr:uid="{6DC59898-1C65-4AE7-B8A9-50104D06692A}"/>
    <hyperlink ref="AF531" r:id="rId40" display="http://eur-lex.europa.eu/legal-content/EN/TXT/?uri=CELEX:32013D0529" xr:uid="{B06E19C3-FD64-4144-9A78-2369FF7469A0}"/>
    <hyperlink ref="AF532" r:id="rId41" display="http://eur-lex.europa.eu/legal-content/EN/TXT/?uri=CELEX:32013D0529" xr:uid="{263B9461-8A1C-4CD5-9504-626897AEFBB1}"/>
    <hyperlink ref="AF530" r:id="rId42" display="http://eur-lex.europa.eu/legal-content/EN/TXT/?uri=CELEX:32013D0529" xr:uid="{1CBB38EF-2130-4A9A-A0CF-7811B3C4128C}"/>
    <hyperlink ref="AF571" r:id="rId43" display="http://eur-lex.europa.eu/legal-content/EN/TXT/?uri=CELEX:32013D0529" xr:uid="{06855862-0CF1-4C4D-A98C-9CF46BD05497}"/>
    <hyperlink ref="AF572" r:id="rId44" display="http://eur-lex.europa.eu/legal-content/EN/TXT/?uri=CELEX:32013D0529" xr:uid="{C0BC7AD3-CA98-457F-B78A-09C0398658F4}"/>
    <hyperlink ref="AF575" r:id="rId45" display="http://eur-lex.europa.eu/legal-content/EN/TXT/?uri=CELEX:32013D0529" xr:uid="{7A1F2B63-ED91-465E-BF95-178058A17A17}"/>
    <hyperlink ref="AF576" r:id="rId46" display="http://eur-lex.europa.eu/legal-content/EN/TXT/?uri=CELEX:32013D0529" xr:uid="{B90D60E6-E6E1-4E44-B834-435EBE60B513}"/>
    <hyperlink ref="AF587" r:id="rId47" display="http://eur-lex.europa.eu/legal-content/EN/TXT/?uri=CELEX:32013D0529" xr:uid="{B43C6D29-AC30-405A-8F75-C607A93E416F}"/>
    <hyperlink ref="AF588" r:id="rId48" display="http://eur-lex.europa.eu/legal-content/EN/TXT/?uri=CELEX:32013D0529" xr:uid="{114E4156-6BB1-4CBE-B880-E1C4D9E17008}"/>
    <hyperlink ref="AF639" r:id="rId49" display="http://eur-lex.europa.eu/legal-content/EN/TXT/?uri=CELEX:32013D0529" xr:uid="{327A6A99-7ECD-4A7F-A6FC-6FDA5B65A472}"/>
    <hyperlink ref="AF640" r:id="rId50" display="http://eur-lex.europa.eu/legal-content/EN/TXT/?uri=CELEX:32013D0529" xr:uid="{7D719E3B-5256-4BD4-BB18-2E5BD0938C7A}"/>
    <hyperlink ref="AF643" r:id="rId51" display="http://eur-lex.europa.eu/legal-content/EN/TXT/?uri=CELEX:32013D0529" xr:uid="{1A62461A-270A-4FA7-973D-423D122E6BF7}"/>
    <hyperlink ref="AF644" r:id="rId52" display="http://eur-lex.europa.eu/legal-content/EN/TXT/?uri=CELEX:32013D0529" xr:uid="{F0D20B4F-8C69-43E1-9E38-B2F1BC261C51}"/>
    <hyperlink ref="AF667" r:id="rId53" display="http://eur-lex.europa.eu/legal-content/EN/TXT/?uri=CELEX:32013D0529" xr:uid="{B9E932CD-DB28-45D2-9A4C-50CDD1D88886}"/>
    <hyperlink ref="AF668" r:id="rId54" display="http://eur-lex.europa.eu/legal-content/EN/TXT/?uri=CELEX:32013D0529" xr:uid="{F613A1F9-8921-4C9F-AB4A-DD3261B958A2}"/>
    <hyperlink ref="AF683" r:id="rId55" display="http://eur-lex.europa.eu/legal-content/EN/TXT/?uri=CELEX:32013D0529" xr:uid="{3408CC52-F882-4B2F-B34B-55C0B3BAF797}"/>
    <hyperlink ref="AF684" r:id="rId56" display="http://eur-lex.europa.eu/legal-content/EN/TXT/?uri=CELEX:32013D0529" xr:uid="{F78DC6BF-77A6-4979-B81F-78AF160F3F2F}"/>
    <hyperlink ref="AF751" r:id="rId57" display="http://eur-lex.europa.eu/legal-content/EN/TXT/?uri=CELEX:32013D0529" xr:uid="{AC2DDF53-97F0-4AE8-AAA6-35D771F42CF1}"/>
  </hyperlinks>
  <pageMargins left="0.7" right="0.7" top="0.75" bottom="0.75" header="0.3" footer="0.3"/>
  <pageSetup paperSize="9" orientation="portrait" horizontalDpi="4294967292" verticalDpi="1200" r:id="rId5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Pengd-Wende Richard NIKIEMA</dc:creator>
  <cp:lastModifiedBy>Richman NIKIEMA</cp:lastModifiedBy>
  <dcterms:created xsi:type="dcterms:W3CDTF">2025-04-04T11:36:32Z</dcterms:created>
  <dcterms:modified xsi:type="dcterms:W3CDTF">2026-08-29T20:12:18Z</dcterms:modified>
</cp:coreProperties>
</file>